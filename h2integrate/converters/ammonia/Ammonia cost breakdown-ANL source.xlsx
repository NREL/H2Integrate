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martin4\Documents\Code\jmartin4nrel\H2Integrate\h2integrate\converters\ammonia\"/>
    </mc:Choice>
  </mc:AlternateContent>
  <xr:revisionPtr revIDLastSave="0" documentId="13_ncr:1_{91F9F96A-D364-4985-8B2A-BC66089FC2D5}" xr6:coauthVersionLast="47" xr6:coauthVersionMax="47" xr10:uidLastSave="{00000000-0000-0000-0000-000000000000}"/>
  <bookViews>
    <workbookView xWindow="-108" yWindow="-108" windowWidth="23256" windowHeight="12456" xr2:uid="{E2C01D3A-6DAE-45C2-89C9-0ADC6AC6A4F1}"/>
  </bookViews>
  <sheets>
    <sheet name="Startup cost" sheetId="3" r:id="rId1"/>
    <sheet name="TEA assumptions" sheetId="5" r:id="rId2"/>
  </sheets>
  <externalReferences>
    <externalReference r:id="rId3"/>
  </externalReferences>
  <definedNames>
    <definedName name="anal_period">[1]Input_Sheet_Template!$C$40</definedName>
    <definedName name="construct">[1]Input_Sheet_Template!$C$33</definedName>
    <definedName name="startup_year">[1]Input_Sheet_Template!$C$31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8" i="3" l="1"/>
  <c r="F44" i="3"/>
  <c r="F70" i="3"/>
  <c r="F75" i="3"/>
  <c r="F74" i="3"/>
  <c r="F72" i="3"/>
  <c r="F69" i="3"/>
  <c r="AO65" i="3"/>
  <c r="I7" i="3"/>
  <c r="H7" i="3"/>
  <c r="G7" i="3"/>
  <c r="E7" i="3"/>
  <c r="D7" i="3"/>
  <c r="C7" i="3"/>
  <c r="F7" i="3"/>
  <c r="P6" i="3"/>
  <c r="Y58" i="3"/>
  <c r="AN58" i="3" s="1"/>
  <c r="Y59" i="3"/>
  <c r="AN59" i="3" s="1"/>
  <c r="Y60" i="3"/>
  <c r="Y57" i="3"/>
  <c r="AN57" i="3" s="1"/>
  <c r="Y53" i="3"/>
  <c r="AN53" i="3" s="1"/>
  <c r="Y54" i="3"/>
  <c r="AN54" i="3" s="1"/>
  <c r="Y55" i="3"/>
  <c r="Y52" i="3"/>
  <c r="AN52" i="3" s="1"/>
  <c r="AN55" i="3" s="1"/>
  <c r="AD58" i="3"/>
  <c r="AD57" i="3"/>
  <c r="AD53" i="3"/>
  <c r="AD52" i="3"/>
  <c r="AD54" i="3" s="1"/>
  <c r="AC59" i="3"/>
  <c r="AC58" i="3"/>
  <c r="AC57" i="3"/>
  <c r="AC60" i="3" s="1"/>
  <c r="AC54" i="3"/>
  <c r="AC53" i="3"/>
  <c r="AC52" i="3"/>
  <c r="AC55" i="3" s="1"/>
  <c r="AA61" i="3"/>
  <c r="AA56" i="3"/>
  <c r="AN60" i="3" l="1"/>
  <c r="AD55" i="3"/>
  <c r="AO55" i="3" s="1"/>
  <c r="AD59" i="3"/>
  <c r="AD60" i="3" s="1"/>
  <c r="F6" i="3"/>
  <c r="F11" i="3" s="1"/>
  <c r="D9" i="3"/>
  <c r="I51" i="3"/>
  <c r="H51" i="3"/>
  <c r="G51" i="3"/>
  <c r="F51" i="3"/>
  <c r="E51" i="3"/>
  <c r="D51" i="3"/>
  <c r="I50" i="3"/>
  <c r="H50" i="3"/>
  <c r="G50" i="3"/>
  <c r="F50" i="3"/>
  <c r="E50" i="3"/>
  <c r="D50" i="3"/>
  <c r="I49" i="3"/>
  <c r="H49" i="3"/>
  <c r="G49" i="3"/>
  <c r="F49" i="3"/>
  <c r="E49" i="3"/>
  <c r="D49" i="3"/>
  <c r="I48" i="3"/>
  <c r="H48" i="3"/>
  <c r="G48" i="3"/>
  <c r="E48" i="3"/>
  <c r="D48" i="3"/>
  <c r="I47" i="3"/>
  <c r="H47" i="3"/>
  <c r="G47" i="3"/>
  <c r="F47" i="3"/>
  <c r="E47" i="3"/>
  <c r="D47" i="3"/>
  <c r="I46" i="3"/>
  <c r="H46" i="3"/>
  <c r="G46" i="3"/>
  <c r="F46" i="3"/>
  <c r="E46" i="3"/>
  <c r="D46" i="3"/>
  <c r="I45" i="3"/>
  <c r="H45" i="3"/>
  <c r="G45" i="3"/>
  <c r="F45" i="3"/>
  <c r="E45" i="3"/>
  <c r="D45" i="3"/>
  <c r="C51" i="3"/>
  <c r="C50" i="3"/>
  <c r="C49" i="3"/>
  <c r="C48" i="3"/>
  <c r="C47" i="3"/>
  <c r="C46" i="3"/>
  <c r="C45" i="3"/>
  <c r="C44" i="3" s="1"/>
  <c r="AO60" i="3" l="1"/>
  <c r="AO62" i="3" s="1"/>
  <c r="AO64" i="3" s="1"/>
  <c r="H44" i="3"/>
  <c r="G44" i="3"/>
  <c r="D44" i="3"/>
  <c r="E44" i="3"/>
  <c r="I44" i="3"/>
  <c r="I9" i="3"/>
  <c r="C9" i="3"/>
  <c r="E9" i="3"/>
  <c r="G9" i="3"/>
  <c r="H9" i="3"/>
  <c r="P5" i="3"/>
  <c r="C4" i="3" l="1"/>
  <c r="C6" i="3" s="1"/>
  <c r="I4" i="3"/>
  <c r="I6" i="3"/>
  <c r="I5" i="3"/>
  <c r="I37" i="3" s="1"/>
  <c r="F5" i="3"/>
  <c r="F25" i="3"/>
  <c r="C5" i="3" l="1"/>
  <c r="C28" i="3" s="1"/>
  <c r="D4" i="3"/>
  <c r="I20" i="3"/>
  <c r="I25" i="3"/>
  <c r="C20" i="3"/>
  <c r="C25" i="3"/>
  <c r="F15" i="3"/>
  <c r="F20" i="3"/>
  <c r="C11" i="3"/>
  <c r="C15" i="3"/>
  <c r="I11" i="3"/>
  <c r="I15" i="3"/>
  <c r="F37" i="3"/>
  <c r="F38" i="3" s="1"/>
  <c r="C37" i="3"/>
  <c r="I38" i="3"/>
  <c r="I28" i="3"/>
  <c r="I29" i="3"/>
  <c r="I30" i="3"/>
  <c r="I31" i="3"/>
  <c r="F28" i="3"/>
  <c r="F29" i="3"/>
  <c r="F30" i="3"/>
  <c r="F31" i="3"/>
  <c r="C30" i="3" l="1"/>
  <c r="C29" i="3"/>
  <c r="C31" i="3"/>
  <c r="D6" i="3"/>
  <c r="D5" i="3"/>
  <c r="E4" i="3"/>
  <c r="F21" i="3"/>
  <c r="C21" i="3"/>
  <c r="I21" i="3"/>
  <c r="F32" i="3"/>
  <c r="I32" i="3"/>
  <c r="C38" i="3"/>
  <c r="C32" i="3" l="1"/>
  <c r="C33" i="3" s="1"/>
  <c r="C34" i="3" s="1"/>
  <c r="C39" i="3" s="1"/>
  <c r="F40" i="3"/>
  <c r="F33" i="3"/>
  <c r="F34" i="3" s="1"/>
  <c r="G4" i="3"/>
  <c r="E6" i="3"/>
  <c r="E5" i="3"/>
  <c r="E29" i="3" s="1"/>
  <c r="D37" i="3"/>
  <c r="D38" i="3" s="1"/>
  <c r="D30" i="3"/>
  <c r="D31" i="3"/>
  <c r="D28" i="3"/>
  <c r="D29" i="3"/>
  <c r="D15" i="3"/>
  <c r="D11" i="3"/>
  <c r="D20" i="3"/>
  <c r="D21" i="3" s="1"/>
  <c r="D25" i="3"/>
  <c r="C40" i="3"/>
  <c r="C41" i="3" s="1"/>
  <c r="I40" i="3"/>
  <c r="I33" i="3"/>
  <c r="I34" i="3" s="1"/>
  <c r="I39" i="3" s="1"/>
  <c r="F39" i="3" l="1"/>
  <c r="D32" i="3"/>
  <c r="D40" i="3" s="1"/>
  <c r="E20" i="3"/>
  <c r="E15" i="3"/>
  <c r="E11" i="3"/>
  <c r="E25" i="3"/>
  <c r="E37" i="3"/>
  <c r="E38" i="3" s="1"/>
  <c r="E28" i="3"/>
  <c r="E31" i="3"/>
  <c r="E30" i="3"/>
  <c r="H4" i="3"/>
  <c r="G6" i="3"/>
  <c r="G5" i="3"/>
  <c r="I41" i="3"/>
  <c r="F41" i="3"/>
  <c r="D33" i="3" l="1"/>
  <c r="D34" i="3" s="1"/>
  <c r="D39" i="3" s="1"/>
  <c r="D41" i="3" s="1"/>
  <c r="G25" i="3"/>
  <c r="G15" i="3"/>
  <c r="G20" i="3"/>
  <c r="G21" i="3" s="1"/>
  <c r="G11" i="3"/>
  <c r="H5" i="3"/>
  <c r="H6" i="3"/>
  <c r="E32" i="3"/>
  <c r="E21" i="3"/>
  <c r="G31" i="3"/>
  <c r="G37" i="3"/>
  <c r="G38" i="3" s="1"/>
  <c r="G30" i="3"/>
  <c r="G29" i="3"/>
  <c r="G28" i="3"/>
  <c r="G32" i="3" l="1"/>
  <c r="G33" i="3" s="1"/>
  <c r="G34" i="3" s="1"/>
  <c r="G39" i="3" s="1"/>
  <c r="E33" i="3"/>
  <c r="E34" i="3" s="1"/>
  <c r="E39" i="3" s="1"/>
  <c r="E40" i="3"/>
  <c r="H25" i="3"/>
  <c r="H15" i="3"/>
  <c r="H20" i="3"/>
  <c r="H11" i="3"/>
  <c r="H37" i="3"/>
  <c r="H38" i="3" s="1"/>
  <c r="H31" i="3"/>
  <c r="H28" i="3"/>
  <c r="H29" i="3"/>
  <c r="H30" i="3"/>
  <c r="G40" i="3" l="1"/>
  <c r="G41" i="3" s="1"/>
  <c r="H32" i="3"/>
  <c r="E41" i="3"/>
  <c r="H21" i="3"/>
  <c r="H40" i="3" l="1"/>
  <c r="H33" i="3"/>
  <c r="H34" i="3" s="1"/>
  <c r="H39" i="3" s="1"/>
  <c r="H41" i="3" l="1"/>
</calcChain>
</file>

<file path=xl/sharedStrings.xml><?xml version="1.0" encoding="utf-8"?>
<sst xmlns="http://schemas.openxmlformats.org/spreadsheetml/2006/main" count="180" uniqueCount="157">
  <si>
    <t>(Lower bound scale)</t>
  </si>
  <si>
    <t>(Baseline scale)</t>
  </si>
  <si>
    <t>(Upper bound scale)</t>
  </si>
  <si>
    <t>Capacity Factor</t>
  </si>
  <si>
    <t>US NH3 plant capacity</t>
  </si>
  <si>
    <t>Baseline Plant Capacity (kg NH3/day)</t>
  </si>
  <si>
    <t>Ref: https://www.statista.com/statistics/1266392/ammonia-plant-capacities-united-states/</t>
  </si>
  <si>
    <t>Plant Design Capacity (kg NH3/day)</t>
  </si>
  <si>
    <t>Scale Ratio</t>
  </si>
  <si>
    <t>Thousand MT/yr</t>
  </si>
  <si>
    <t>kg/day</t>
  </si>
  <si>
    <t>Plant Output (kg NH3/year)</t>
  </si>
  <si>
    <t>H2 price ($/kg)</t>
  </si>
  <si>
    <t>H2 usage (kg/kg NH3)</t>
  </si>
  <si>
    <t>Feedstock Costs in start-up year ($)</t>
  </si>
  <si>
    <t>Industrial electricity price ($/kWh)</t>
  </si>
  <si>
    <t>Electricity usage (kWh/kg NH3)</t>
  </si>
  <si>
    <t>Energy Costs in start-up year ($)</t>
  </si>
  <si>
    <t>Cooling Water price ($/gal)</t>
  </si>
  <si>
    <t>Cooling Water usage (gal/kg NH3)</t>
  </si>
  <si>
    <t>Iron-based Catalyst price ($/kg)</t>
  </si>
  <si>
    <t>Iron-based Catalyst usage (kg/kg NH3)</t>
  </si>
  <si>
    <t>Non Energy Utility and Material Costs in start-up year ($)</t>
  </si>
  <si>
    <t>Other Variable Costs in start-up year ($)</t>
  </si>
  <si>
    <t>Oxygen price ($/kg)</t>
  </si>
  <si>
    <t>Oxygen byproduct (kg/kg NH3)</t>
  </si>
  <si>
    <t>Byproduct Credits in start-up year ($)</t>
  </si>
  <si>
    <t>Scaling Factor Exponent (Equipment)</t>
  </si>
  <si>
    <t>Installed Cost ($) - Air separation by cryogenic distillation</t>
  </si>
  <si>
    <t>Installed Cost ($) - Haber-Bosch loop</t>
  </si>
  <si>
    <t>Installed Cost ($) - Boiler and steam turbines</t>
  </si>
  <si>
    <t>Installed Cost ($) - Utility (cooling tower)</t>
  </si>
  <si>
    <t>Total Direct Capital Cost ($)</t>
  </si>
  <si>
    <t>Total Depreciable Nonequipment Capital Cost ($)</t>
  </si>
  <si>
    <t>Total Capital Costs ($)</t>
  </si>
  <si>
    <t>Scaling Factor Exponent (Labor)</t>
  </si>
  <si>
    <t>Labor Cost ($)</t>
  </si>
  <si>
    <t>General and Administrative Expense ($)</t>
  </si>
  <si>
    <t>Property Tax and Insurance ($)</t>
  </si>
  <si>
    <t>Annual Maintenance and Repair Cost ($)</t>
  </si>
  <si>
    <t>Fixed O&amp;M Costs ($)</t>
  </si>
  <si>
    <t>Levelized cost of ammonia (LCOA) is determined to obtain a zero net present value (NPV) with 8% of internal rate of return over an operating period of 40 years</t>
  </si>
  <si>
    <t>LCOA ($/kg NH3)</t>
  </si>
  <si>
    <t>Capital Costs ($/kg NH3)</t>
  </si>
  <si>
    <t>Decommissioning Costs ($/kg NH3)</t>
  </si>
  <si>
    <t>Fixed O&amp;M ($/kg NH3)</t>
  </si>
  <si>
    <t>Feedstock Costs ($/kg NH3)</t>
  </si>
  <si>
    <t>Other Raw Material Cost ($/kg NH3)</t>
  </si>
  <si>
    <t>Byproduct Credits ($/kg NH3)</t>
  </si>
  <si>
    <t>Other Variable Costs (including utilities) ($/kg NH3)</t>
  </si>
  <si>
    <t>Byproduct Sales ($/kg NH3)</t>
  </si>
  <si>
    <t>Salvage Value ($/kg NH3)</t>
  </si>
  <si>
    <t>Initial Equity Depreciable Capital ($/kg NH3)</t>
  </si>
  <si>
    <t>Yearly Replacement Costs ($/kg NH3)</t>
  </si>
  <si>
    <t>Cash for Working Capital Reserve ($/kg NH3)</t>
  </si>
  <si>
    <t>Other Non-Depreciable Capital Costs ($/kg NH3)</t>
  </si>
  <si>
    <t>Fixed Operating Cost ($/kg NH3)</t>
  </si>
  <si>
    <t>Feedstock Cost ($/kg NH3)</t>
  </si>
  <si>
    <t>Other Variable Operating Costs ($/kg NH3)</t>
  </si>
  <si>
    <t>Debt Interest ($/kg NH3)</t>
  </si>
  <si>
    <t>Taxes ($/kg NH3)</t>
  </si>
  <si>
    <t>Principal Payment ($/kg NH3)</t>
  </si>
  <si>
    <t>H2A model default TEA assumptions</t>
  </si>
  <si>
    <t>Ref: https://www.nrel.gov/hydrogen/h2a-production-models.html</t>
  </si>
  <si>
    <t>Reference year</t>
  </si>
  <si>
    <t>Assumed start-up year</t>
  </si>
  <si>
    <t>Basis year</t>
  </si>
  <si>
    <t>Length of Construction Period (years)</t>
  </si>
  <si>
    <t>% of Capital Spent in 1st Year of Construction</t>
  </si>
  <si>
    <t>% of Capital Spent in 2nd Year of Construction</t>
  </si>
  <si>
    <t>% of Capital Spent in 3rd Year of Construction</t>
  </si>
  <si>
    <t>% of Capital Spent in 4th Year of Construction</t>
  </si>
  <si>
    <t>Start-up Time (years)</t>
  </si>
  <si>
    <t>Plant life (years)</t>
  </si>
  <si>
    <t>Analysis period (years)</t>
  </si>
  <si>
    <t>Depreciation Schedule Length (years)</t>
  </si>
  <si>
    <t>Depreciation Type</t>
  </si>
  <si>
    <t>MACRS</t>
  </si>
  <si>
    <t xml:space="preserve"> % Equity Financing</t>
  </si>
  <si>
    <t>Interest rate on debt, if applicable (%)</t>
  </si>
  <si>
    <t>Debt period (years)</t>
  </si>
  <si>
    <t>% of Fixed Operating Costs During Start-up (%)</t>
  </si>
  <si>
    <t>% of Revenues During Start-up (%)</t>
  </si>
  <si>
    <t>% of Variable Operating Costs During Start-up (%)</t>
  </si>
  <si>
    <t>Decommissioning costs (% of depreciable capital investment)</t>
  </si>
  <si>
    <t>Salvage value (% of total capital investment)</t>
  </si>
  <si>
    <t>Inflation rate (%)</t>
  </si>
  <si>
    <t>After-tax Real IRR (%)</t>
  </si>
  <si>
    <t>State Taxes (%)</t>
  </si>
  <si>
    <t>Federal Taxes (%)</t>
  </si>
  <si>
    <t>Total Tax Rate (%)</t>
  </si>
  <si>
    <t>WORKING CAPITAL (% of yearly change in operating costs)</t>
  </si>
  <si>
    <t>Reactor Inlet Gas</t>
  </si>
  <si>
    <t>Reactor Outlet Gas</t>
  </si>
  <si>
    <t>ID</t>
  </si>
  <si>
    <t>Stream Name</t>
  </si>
  <si>
    <t>T [C]</t>
  </si>
  <si>
    <t>Component</t>
  </si>
  <si>
    <t>H2</t>
  </si>
  <si>
    <t>N2</t>
  </si>
  <si>
    <t>Ar</t>
  </si>
  <si>
    <t>NH3</t>
  </si>
  <si>
    <t>Mol Frac</t>
  </si>
  <si>
    <t>Tot</t>
  </si>
  <si>
    <t>Corrected Mol Frac</t>
  </si>
  <si>
    <r>
      <t>H° − H°</t>
    </r>
    <r>
      <rPr>
        <sz val="10"/>
        <color rgb="FF000000"/>
        <rFont val="Source Sans Pro"/>
        <family val="2"/>
      </rPr>
      <t>298.15</t>
    </r>
    <r>
      <rPr>
        <sz val="13"/>
        <color rgb="FF000000"/>
        <rFont val="Source Sans Pro"/>
        <family val="2"/>
      </rPr>
      <t>= A*t + B*t</t>
    </r>
    <r>
      <rPr>
        <sz val="10"/>
        <color rgb="FF000000"/>
        <rFont val="Source Sans Pro"/>
        <family val="2"/>
      </rPr>
      <t>2</t>
    </r>
    <r>
      <rPr>
        <sz val="13"/>
        <color rgb="FF000000"/>
        <rFont val="Source Sans Pro"/>
        <family val="2"/>
      </rPr>
      <t>/2 + C*t</t>
    </r>
    <r>
      <rPr>
        <sz val="10"/>
        <color rgb="FF000000"/>
        <rFont val="Source Sans Pro"/>
        <family val="2"/>
      </rPr>
      <t>3</t>
    </r>
    <r>
      <rPr>
        <sz val="13"/>
        <color rgb="FF000000"/>
        <rFont val="Source Sans Pro"/>
        <family val="2"/>
      </rPr>
      <t>/3 + D*t</t>
    </r>
    <r>
      <rPr>
        <sz val="10"/>
        <color rgb="FF000000"/>
        <rFont val="Source Sans Pro"/>
        <family val="2"/>
      </rPr>
      <t>4</t>
    </r>
    <r>
      <rPr>
        <sz val="13"/>
        <color rgb="FF000000"/>
        <rFont val="Source Sans Pro"/>
        <family val="2"/>
      </rPr>
      <t>/4 − E/t + F − H</t>
    </r>
  </si>
  <si>
    <t>A</t>
  </si>
  <si>
    <t>B</t>
  </si>
  <si>
    <t>C</t>
  </si>
  <si>
    <t>D</t>
  </si>
  <si>
    <t>E</t>
  </si>
  <si>
    <t>F</t>
  </si>
  <si>
    <t>G</t>
  </si>
  <si>
    <t>H</t>
  </si>
  <si>
    <t>Enthalpy [kJ/mol]</t>
  </si>
  <si>
    <t>MW [g/mol]</t>
  </si>
  <si>
    <t>K range</t>
  </si>
  <si>
    <t>200 to 1000</t>
  </si>
  <si>
    <t>100 to 500</t>
  </si>
  <si>
    <t>500 to 2000</t>
  </si>
  <si>
    <t>298 to 1400</t>
  </si>
  <si>
    <t>T [K] /1000</t>
  </si>
  <si>
    <t>Total</t>
  </si>
  <si>
    <t>kJ/g = MJ/kg</t>
  </si>
  <si>
    <t>Heat output</t>
  </si>
  <si>
    <t>MJ/kg outlet gas</t>
  </si>
  <si>
    <t>Gas flow</t>
  </si>
  <si>
    <t>kg outlet gas/kg NH3</t>
  </si>
  <si>
    <t>MJ/kg NH3</t>
  </si>
  <si>
    <t>Plant Design Capacity (kg NH3/hr)</t>
  </si>
  <si>
    <t>kg/hr</t>
  </si>
  <si>
    <t>kWh/kg NH3</t>
  </si>
  <si>
    <t>Lee SI</t>
  </si>
  <si>
    <t>production_capacity</t>
  </si>
  <si>
    <t>kg/kg NH3</t>
  </si>
  <si>
    <t>catalyst_consumption_rate</t>
  </si>
  <si>
    <t>catalyst_replacement_interval</t>
  </si>
  <si>
    <t>year</t>
  </si>
  <si>
    <t>capacity_factor</t>
  </si>
  <si>
    <t>energy_demand</t>
  </si>
  <si>
    <t>kWh_e/kg NH3</t>
  </si>
  <si>
    <t>heat_output</t>
  </si>
  <si>
    <t>feed_gas_mass_ratio</t>
  </si>
  <si>
    <t>purge_gas_mass_ratio</t>
  </si>
  <si>
    <t>DOI: 10.1039/d2gc00843b</t>
  </si>
  <si>
    <t>NIST Enthalpy Tables</t>
  </si>
  <si>
    <t>Removed the argon for simplicity</t>
  </si>
  <si>
    <t>feed_gas_t</t>
  </si>
  <si>
    <t>feed_gas_p</t>
  </si>
  <si>
    <t>feed_gas_x_n2</t>
  </si>
  <si>
    <t>feed_gas_x_h2</t>
  </si>
  <si>
    <t>purge_gas_t</t>
  </si>
  <si>
    <t>purge_gas_p</t>
  </si>
  <si>
    <t>purge_gas_x_n2</t>
  </si>
  <si>
    <t>purge_gas_x_h2</t>
  </si>
  <si>
    <t>purge_gas_x_ar</t>
  </si>
  <si>
    <t>purge_gas_x_nh3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</si>
</sst>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(* #,##0_);_(* \(#,##0\);_(* &quot;-&quot;_);_(@_)"/>
    <numFmt numFmtId="43" formatCode="_(* #,##0.00_);_(* \(#,##0.00\);_(* &quot;-&quot;??_);_(@_)"/>
    <numFmt numFmtId="164" formatCode="0.000"/>
    <numFmt numFmtId="165" formatCode="0.000E+00"/>
    <numFmt numFmtId="166" formatCode="_(* #,##0.000_);_(* \(#,##0.000\);_(* &quot;-&quot;???_);_(@_)"/>
    <numFmt numFmtId="176" formatCode="_(* #,##0.0_);_(* \(#,##0.0\);_(* &quot;-&quot;_);_(@_)"/>
    <numFmt numFmtId="182" formatCode="_(* #,##0.0000000_);_(* \(#,##0.0000000\);_(* &quot;-&quot;_);_(@_)"/>
    <numFmt numFmtId="184" formatCode="0.000000000"/>
    <numFmt numFmtId="193" formatCode="0.000000000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3"/>
      <color rgb="FF000000"/>
      <name val="Source Sans Pro"/>
      <family val="2"/>
    </font>
    <font>
      <sz val="10"/>
      <color rgb="FF000000"/>
      <name val="Source Sans Pro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1" xfId="0" applyBorder="1"/>
    <xf numFmtId="41" fontId="0" fillId="0" borderId="1" xfId="0" applyNumberFormat="1" applyBorder="1"/>
    <xf numFmtId="2" fontId="0" fillId="0" borderId="1" xfId="0" applyNumberFormat="1" applyBorder="1"/>
    <xf numFmtId="0" fontId="1" fillId="0" borderId="0" xfId="0" applyFont="1"/>
    <xf numFmtId="41" fontId="0" fillId="0" borderId="0" xfId="0" applyNumberFormat="1"/>
    <xf numFmtId="164" fontId="0" fillId="0" borderId="1" xfId="0" applyNumberFormat="1" applyBorder="1"/>
    <xf numFmtId="2" fontId="0" fillId="0" borderId="0" xfId="0" applyNumberFormat="1"/>
    <xf numFmtId="11" fontId="0" fillId="0" borderId="1" xfId="0" applyNumberFormat="1" applyBorder="1"/>
    <xf numFmtId="39" fontId="0" fillId="0" borderId="1" xfId="0" applyNumberFormat="1" applyBorder="1"/>
    <xf numFmtId="165" fontId="0" fillId="0" borderId="1" xfId="0" applyNumberFormat="1" applyBorder="1"/>
    <xf numFmtId="0" fontId="1" fillId="0" borderId="1" xfId="0" applyFont="1" applyBorder="1"/>
    <xf numFmtId="41" fontId="1" fillId="0" borderId="1" xfId="0" applyNumberFormat="1" applyFont="1" applyBorder="1"/>
    <xf numFmtId="164" fontId="1" fillId="0" borderId="1" xfId="0" applyNumberFormat="1" applyFont="1" applyBorder="1"/>
    <xf numFmtId="0" fontId="0" fillId="2" borderId="0" xfId="0" applyFill="1"/>
    <xf numFmtId="2" fontId="0" fillId="2" borderId="1" xfId="0" applyNumberFormat="1" applyFill="1" applyBorder="1"/>
    <xf numFmtId="41" fontId="0" fillId="2" borderId="1" xfId="0" applyNumberFormat="1" applyFill="1" applyBorder="1"/>
    <xf numFmtId="41" fontId="1" fillId="2" borderId="1" xfId="0" applyNumberFormat="1" applyFont="1" applyFill="1" applyBorder="1"/>
    <xf numFmtId="41" fontId="0" fillId="2" borderId="0" xfId="0" applyNumberFormat="1" applyFill="1"/>
    <xf numFmtId="0" fontId="0" fillId="2" borderId="1" xfId="0" applyFill="1" applyBorder="1"/>
    <xf numFmtId="11" fontId="0" fillId="2" borderId="1" xfId="0" applyNumberFormat="1" applyFill="1" applyBorder="1"/>
    <xf numFmtId="39" fontId="0" fillId="2" borderId="1" xfId="0" applyNumberFormat="1" applyFill="1" applyBorder="1"/>
    <xf numFmtId="11" fontId="0" fillId="2" borderId="0" xfId="0" applyNumberFormat="1" applyFill="1"/>
    <xf numFmtId="2" fontId="0" fillId="2" borderId="0" xfId="0" applyNumberFormat="1" applyFill="1"/>
    <xf numFmtId="164" fontId="1" fillId="2" borderId="1" xfId="0" applyNumberFormat="1" applyFont="1" applyFill="1" applyBorder="1"/>
    <xf numFmtId="164" fontId="0" fillId="2" borderId="1" xfId="0" applyNumberFormat="1" applyFill="1" applyBorder="1"/>
    <xf numFmtId="165" fontId="0" fillId="2" borderId="1" xfId="0" applyNumberFormat="1" applyFill="1" applyBorder="1"/>
    <xf numFmtId="0" fontId="1" fillId="2" borderId="0" xfId="0" applyFont="1" applyFill="1"/>
    <xf numFmtId="43" fontId="0" fillId="0" borderId="0" xfId="0" applyNumberFormat="1"/>
    <xf numFmtId="166" fontId="0" fillId="0" borderId="0" xfId="0" applyNumberFormat="1"/>
    <xf numFmtId="0" fontId="0" fillId="0" borderId="0" xfId="0" applyAlignment="1">
      <alignment horizontal="right"/>
    </xf>
    <xf numFmtId="164" fontId="0" fillId="0" borderId="0" xfId="0" applyNumberFormat="1"/>
    <xf numFmtId="0" fontId="2" fillId="0" borderId="0" xfId="0" applyFont="1"/>
    <xf numFmtId="0" fontId="0" fillId="0" borderId="0" xfId="0" applyBorder="1"/>
    <xf numFmtId="41" fontId="0" fillId="0" borderId="0" xfId="0" applyNumberFormat="1" applyBorder="1"/>
    <xf numFmtId="176" fontId="0" fillId="0" borderId="0" xfId="0" applyNumberFormat="1"/>
    <xf numFmtId="182" fontId="0" fillId="0" borderId="0" xfId="0" applyNumberFormat="1"/>
    <xf numFmtId="182" fontId="1" fillId="0" borderId="0" xfId="0" applyNumberFormat="1" applyFont="1"/>
    <xf numFmtId="184" fontId="0" fillId="0" borderId="0" xfId="0" applyNumberFormat="1"/>
    <xf numFmtId="19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'Startup cost'!$B$32</c:f>
              <c:strCache>
                <c:ptCount val="1"/>
                <c:pt idx="0">
                  <c:v>Total Direct Capital Cost ($)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16240244969378828"/>
                  <c:y val="-8.3956692913385832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'Startup cost'!$C$4:$I$4</c:f>
              <c:numCache>
                <c:formatCode>_(* #,##0_);_(* \(#,##0\);_(* "-"_);_(@_)</c:formatCode>
                <c:ptCount val="7"/>
                <c:pt idx="0">
                  <c:v>65934.065934065933</c:v>
                </c:pt>
                <c:pt idx="1">
                  <c:v>197802.1978021978</c:v>
                </c:pt>
                <c:pt idx="2">
                  <c:v>593406.59340659343</c:v>
                </c:pt>
                <c:pt idx="3">
                  <c:v>1266638.3999999999</c:v>
                </c:pt>
                <c:pt idx="4">
                  <c:v>1780219.7802197803</c:v>
                </c:pt>
                <c:pt idx="5">
                  <c:v>5340659.3406593408</c:v>
                </c:pt>
                <c:pt idx="6">
                  <c:v>10804945.054945055</c:v>
                </c:pt>
              </c:numCache>
            </c:numRef>
          </c:xVal>
          <c:yVal>
            <c:numRef>
              <c:f>'Startup cost'!$C$32:$I$32</c:f>
              <c:numCache>
                <c:formatCode>_(* #,##0_);_(* \(#,##0\);_(* "-"_);_(@_)</c:formatCode>
                <c:ptCount val="7"/>
                <c:pt idx="0">
                  <c:v>9001007.2668919731</c:v>
                </c:pt>
                <c:pt idx="1">
                  <c:v>17400585.634655882</c:v>
                </c:pt>
                <c:pt idx="2">
                  <c:v>33638499.720214315</c:v>
                </c:pt>
                <c:pt idx="3">
                  <c:v>53017200</c:v>
                </c:pt>
                <c:pt idx="4">
                  <c:v>65029343.677560441</c:v>
                </c:pt>
                <c:pt idx="5">
                  <c:v>125713559.59115668</c:v>
                </c:pt>
                <c:pt idx="6">
                  <c:v>191866315.26751971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0E1-4199-A454-388F20E3AF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0900095"/>
        <c:axId val="700912575"/>
      </c:scatterChart>
      <c:valAx>
        <c:axId val="7009000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Plant Design</a:t>
                </a:r>
                <a:r>
                  <a:rPr lang="en-US" baseline="0"/>
                  <a:t> Capacity (kg NH3/day)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33011701662292214"/>
              <c:y val="0.8786803732866724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_);_(* \(#,##0\);_(* &quot;-&quot;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0912575"/>
        <c:crosses val="autoZero"/>
        <c:crossBetween val="midCat"/>
      </c:valAx>
      <c:valAx>
        <c:axId val="700912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09000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'Startup cost'!$B$41</c:f>
              <c:strCache>
                <c:ptCount val="1"/>
                <c:pt idx="0">
                  <c:v>Fixed O&amp;M Costs ($)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18302996500437446"/>
                  <c:y val="-1.493438320209973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'Startup cost'!$C$4:$I$4</c:f>
              <c:numCache>
                <c:formatCode>_(* #,##0_);_(* \(#,##0\);_(* "-"_);_(@_)</c:formatCode>
                <c:ptCount val="7"/>
                <c:pt idx="0">
                  <c:v>65934.065934065933</c:v>
                </c:pt>
                <c:pt idx="1">
                  <c:v>197802.1978021978</c:v>
                </c:pt>
                <c:pt idx="2">
                  <c:v>593406.59340659343</c:v>
                </c:pt>
                <c:pt idx="3">
                  <c:v>1266638.3999999999</c:v>
                </c:pt>
                <c:pt idx="4">
                  <c:v>1780219.7802197803</c:v>
                </c:pt>
                <c:pt idx="5">
                  <c:v>5340659.3406593408</c:v>
                </c:pt>
                <c:pt idx="6">
                  <c:v>10804945.054945055</c:v>
                </c:pt>
              </c:numCache>
            </c:numRef>
          </c:xVal>
          <c:yVal>
            <c:numRef>
              <c:f>'Startup cost'!$C$41:$I$41</c:f>
              <c:numCache>
                <c:formatCode>_(* #,##0_);_(* \(#,##0\);_(* "-"_);_(@_)</c:formatCode>
                <c:ptCount val="7"/>
                <c:pt idx="0">
                  <c:v>3673886.1930591213</c:v>
                </c:pt>
                <c:pt idx="1">
                  <c:v>5023804.2703637863</c:v>
                </c:pt>
                <c:pt idx="2">
                  <c:v>7017550.5177091761</c:v>
                </c:pt>
                <c:pt idx="3">
                  <c:v>9016628.5168207083</c:v>
                </c:pt>
                <c:pt idx="4">
                  <c:v>10167997.603009881</c:v>
                </c:pt>
                <c:pt idx="5">
                  <c:v>15719629.961103089</c:v>
                </c:pt>
                <c:pt idx="6">
                  <c:v>21960533.217424862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BBB-42DD-BAEB-7A394FD0AD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8149199"/>
        <c:axId val="768150447"/>
      </c:scatterChart>
      <c:valAx>
        <c:axId val="7681491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Plant Design</a:t>
                </a:r>
                <a:r>
                  <a:rPr lang="en-US" baseline="0"/>
                  <a:t> Capacity (kg NH3/day)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_);_(* \(#,##0\);_(* &quot;-&quot;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150447"/>
        <c:crosses val="autoZero"/>
        <c:crossBetween val="midCat"/>
      </c:valAx>
      <c:valAx>
        <c:axId val="768150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1491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'Startup cost'!$B$21</c:f>
              <c:strCache>
                <c:ptCount val="1"/>
                <c:pt idx="0">
                  <c:v>Other Variable Costs in start-up year ($)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2128159710036111"/>
                  <c:y val="-1.402338987566562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'Startup cost'!$C$4:$I$4</c:f>
              <c:numCache>
                <c:formatCode>_(* #,##0_);_(* \(#,##0\);_(* "-"_);_(@_)</c:formatCode>
                <c:ptCount val="7"/>
                <c:pt idx="0">
                  <c:v>65934.065934065933</c:v>
                </c:pt>
                <c:pt idx="1">
                  <c:v>197802.1978021978</c:v>
                </c:pt>
                <c:pt idx="2">
                  <c:v>593406.59340659343</c:v>
                </c:pt>
                <c:pt idx="3">
                  <c:v>1266638.3999999999</c:v>
                </c:pt>
                <c:pt idx="4">
                  <c:v>1780219.7802197803</c:v>
                </c:pt>
                <c:pt idx="5">
                  <c:v>5340659.3406593408</c:v>
                </c:pt>
                <c:pt idx="6">
                  <c:v>10804945.054945055</c:v>
                </c:pt>
              </c:numCache>
            </c:numRef>
          </c:xVal>
          <c:yVal>
            <c:numRef>
              <c:f>'Startup cost'!$C$21:$I$21</c:f>
              <c:numCache>
                <c:formatCode>_(* #,##0_);_(* \(#,##0\);_(* "-"_);_(@_)</c:formatCode>
                <c:ptCount val="7"/>
                <c:pt idx="0">
                  <c:v>848526.65470285725</c:v>
                </c:pt>
                <c:pt idx="1">
                  <c:v>2545579.9641085714</c:v>
                </c:pt>
                <c:pt idx="2">
                  <c:v>7636739.8923257142</c:v>
                </c:pt>
                <c:pt idx="3">
                  <c:v>16300776.071431054</c:v>
                </c:pt>
                <c:pt idx="4">
                  <c:v>22910219.676977143</c:v>
                </c:pt>
                <c:pt idx="5">
                  <c:v>68730659.030931443</c:v>
                </c:pt>
                <c:pt idx="6">
                  <c:v>139052305.53943071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322-4E4A-9E75-04C0BA1481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0900095"/>
        <c:axId val="700912575"/>
      </c:scatterChart>
      <c:valAx>
        <c:axId val="7009000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Plant Design</a:t>
                </a:r>
                <a:r>
                  <a:rPr lang="en-US" baseline="0"/>
                  <a:t> Capacity (kg NH3/day)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33011701662292214"/>
              <c:y val="0.8786803732866724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_);_(* \(#,##0\);_(* &quot;-&quot;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0912575"/>
        <c:crosses val="autoZero"/>
        <c:crossBetween val="midCat"/>
      </c:valAx>
      <c:valAx>
        <c:axId val="700912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09000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'Startup cost'!$B$11</c:f>
              <c:strCache>
                <c:ptCount val="1"/>
                <c:pt idx="0">
                  <c:v>Feedstock Costs in start-up year ($)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19302714407432287"/>
                  <c:y val="4.445028625727039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'Startup cost'!$C$4:$I$4</c:f>
              <c:numCache>
                <c:formatCode>_(* #,##0_);_(* \(#,##0\);_(* "-"_);_(@_)</c:formatCode>
                <c:ptCount val="7"/>
                <c:pt idx="0">
                  <c:v>65934.065934065933</c:v>
                </c:pt>
                <c:pt idx="1">
                  <c:v>197802.1978021978</c:v>
                </c:pt>
                <c:pt idx="2">
                  <c:v>593406.59340659343</c:v>
                </c:pt>
                <c:pt idx="3">
                  <c:v>1266638.3999999999</c:v>
                </c:pt>
                <c:pt idx="4">
                  <c:v>1780219.7802197803</c:v>
                </c:pt>
                <c:pt idx="5">
                  <c:v>5340659.3406593408</c:v>
                </c:pt>
                <c:pt idx="6">
                  <c:v>10804945.054945055</c:v>
                </c:pt>
              </c:numCache>
            </c:numRef>
          </c:xVal>
          <c:yVal>
            <c:numRef>
              <c:f>'Startup cost'!$C$11:$I$11</c:f>
              <c:numCache>
                <c:formatCode>_(* #,##0_);_(* \(#,##0\);_(* "-"_);_(@_)</c:formatCode>
                <c:ptCount val="7"/>
                <c:pt idx="0">
                  <c:v>20638831.941228464</c:v>
                </c:pt>
                <c:pt idx="1">
                  <c:v>61916495.823685385</c:v>
                </c:pt>
                <c:pt idx="2">
                  <c:v>185749487.47105616</c:v>
                </c:pt>
                <c:pt idx="3">
                  <c:v>396486045.52991539</c:v>
                </c:pt>
                <c:pt idx="4">
                  <c:v>557248462.41316843</c:v>
                </c:pt>
                <c:pt idx="5">
                  <c:v>1671745387.2395055</c:v>
                </c:pt>
                <c:pt idx="6">
                  <c:v>3382188584.368814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AC6-45F5-A7DC-1855403738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0900095"/>
        <c:axId val="700912575"/>
      </c:scatterChart>
      <c:valAx>
        <c:axId val="7009000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Plant Design</a:t>
                </a:r>
                <a:r>
                  <a:rPr lang="en-US" baseline="0"/>
                  <a:t> Capacity (kg NH3/day)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33011701662292214"/>
              <c:y val="0.8786803732866724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_);_(* \(#,##0\);_(* &quot;-&quot;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0912575"/>
        <c:crosses val="autoZero"/>
        <c:crossBetween val="midCat"/>
      </c:valAx>
      <c:valAx>
        <c:axId val="700912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09000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'Startup cost'!$B$25</c:f>
              <c:strCache>
                <c:ptCount val="1"/>
                <c:pt idx="0">
                  <c:v>Byproduct Credits in start-up year ($)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22197820927005546"/>
                  <c:y val="-7.5906422262777239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'Startup cost'!$C$4:$I$4</c:f>
              <c:numCache>
                <c:formatCode>_(* #,##0_);_(* \(#,##0\);_(* "-"_);_(@_)</c:formatCode>
                <c:ptCount val="7"/>
                <c:pt idx="0">
                  <c:v>65934.065934065933</c:v>
                </c:pt>
                <c:pt idx="1">
                  <c:v>197802.1978021978</c:v>
                </c:pt>
                <c:pt idx="2">
                  <c:v>593406.59340659343</c:v>
                </c:pt>
                <c:pt idx="3">
                  <c:v>1266638.3999999999</c:v>
                </c:pt>
                <c:pt idx="4">
                  <c:v>1780219.7802197803</c:v>
                </c:pt>
                <c:pt idx="5">
                  <c:v>5340659.3406593408</c:v>
                </c:pt>
                <c:pt idx="6">
                  <c:v>10804945.054945055</c:v>
                </c:pt>
              </c:numCache>
            </c:numRef>
          </c:xVal>
          <c:yVal>
            <c:numRef>
              <c:f>'Startup cost'!$C$25:$I$25</c:f>
              <c:numCache>
                <c:formatCode>_(* #,##0_);_(* \(#,##0\);_(* "-"_);_(@_)</c:formatCode>
                <c:ptCount val="7"/>
                <c:pt idx="0">
                  <c:v>181649.27253281785</c:v>
                </c:pt>
                <c:pt idx="1">
                  <c:v>544947.81759845349</c:v>
                </c:pt>
                <c:pt idx="2">
                  <c:v>1634843.4527953605</c:v>
                </c:pt>
                <c:pt idx="3">
                  <c:v>3489606.4828190068</c:v>
                </c:pt>
                <c:pt idx="4">
                  <c:v>4904530.3583860816</c:v>
                </c:pt>
                <c:pt idx="5">
                  <c:v>14713591.075158246</c:v>
                </c:pt>
                <c:pt idx="6">
                  <c:v>29767774.536315519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62C-47A2-A272-379344DEDD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0900095"/>
        <c:axId val="700912575"/>
      </c:scatterChart>
      <c:valAx>
        <c:axId val="7009000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Plant Design</a:t>
                </a:r>
                <a:r>
                  <a:rPr lang="en-US" baseline="0"/>
                  <a:t> Capacity (kg NH3/day)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33011701662292214"/>
              <c:y val="0.8786803732866724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_);_(* \(#,##0\);_(* &quot;-&quot;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0912575"/>
        <c:crosses val="autoZero"/>
        <c:crossBetween val="midCat"/>
      </c:valAx>
      <c:valAx>
        <c:axId val="700912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09000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image" Target="../media/image2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1.png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300241</xdr:colOff>
      <xdr:row>29</xdr:row>
      <xdr:rowOff>37031</xdr:rowOff>
    </xdr:from>
    <xdr:to>
      <xdr:col>14</xdr:col>
      <xdr:colOff>545681</xdr:colOff>
      <xdr:row>39</xdr:row>
      <xdr:rowOff>106304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FE6A2D77-C19F-3DEB-510E-29CBB37A86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599336</xdr:colOff>
      <xdr:row>29</xdr:row>
      <xdr:rowOff>40162</xdr:rowOff>
    </xdr:from>
    <xdr:to>
      <xdr:col>19</xdr:col>
      <xdr:colOff>598246</xdr:colOff>
      <xdr:row>39</xdr:row>
      <xdr:rowOff>109435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61769C5B-D00D-32D0-F0A7-5C60BAF83F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289315</xdr:colOff>
      <xdr:row>18</xdr:row>
      <xdr:rowOff>62652</xdr:rowOff>
    </xdr:from>
    <xdr:to>
      <xdr:col>14</xdr:col>
      <xdr:colOff>534755</xdr:colOff>
      <xdr:row>28</xdr:row>
      <xdr:rowOff>131925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7FD0AF69-FEA2-443B-8615-41ED2D1682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292153</xdr:colOff>
      <xdr:row>7</xdr:row>
      <xdr:rowOff>147278</xdr:rowOff>
    </xdr:from>
    <xdr:to>
      <xdr:col>14</xdr:col>
      <xdr:colOff>537592</xdr:colOff>
      <xdr:row>18</xdr:row>
      <xdr:rowOff>26051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C860211D-ED27-45AF-BA8C-6916527467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44824</xdr:colOff>
      <xdr:row>18</xdr:row>
      <xdr:rowOff>78441</xdr:rowOff>
    </xdr:from>
    <xdr:to>
      <xdr:col>20</xdr:col>
      <xdr:colOff>46667</xdr:colOff>
      <xdr:row>28</xdr:row>
      <xdr:rowOff>147714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0C232F37-6D3B-47CF-A5EE-CFB50CBE51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21</xdr:col>
      <xdr:colOff>23948</xdr:colOff>
      <xdr:row>3</xdr:row>
      <xdr:rowOff>24672</xdr:rowOff>
    </xdr:from>
    <xdr:to>
      <xdr:col>32</xdr:col>
      <xdr:colOff>561612</xdr:colOff>
      <xdr:row>49</xdr:row>
      <xdr:rowOff>186211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34511B3-5FA5-8BC4-42A7-093713DACE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8638519" y="596172"/>
          <a:ext cx="8247925" cy="8915014"/>
        </a:xfrm>
        <a:prstGeom prst="rect">
          <a:avLst/>
        </a:prstGeom>
      </xdr:spPr>
    </xdr:pic>
    <xdr:clientData/>
  </xdr:twoCellAnchor>
  <xdr:twoCellAnchor editAs="oneCell">
    <xdr:from>
      <xdr:col>21</xdr:col>
      <xdr:colOff>117929</xdr:colOff>
      <xdr:row>65</xdr:row>
      <xdr:rowOff>172357</xdr:rowOff>
    </xdr:from>
    <xdr:to>
      <xdr:col>32</xdr:col>
      <xdr:colOff>532563</xdr:colOff>
      <xdr:row>90</xdr:row>
      <xdr:rowOff>27977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35C4BD2-1485-D0C5-98CC-180C7B512E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8732500" y="12591143"/>
          <a:ext cx="8134420" cy="4610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0%20Kyuha\01%20ANL\00%20Research\Green%20Ammonia\TEA-NH3\h2a-v3-2018.20201209-GreenNH3-forScaling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Description"/>
      <sheetName val="ProcessFlow"/>
      <sheetName val="Input_Sheet_Template"/>
      <sheetName val="Replacement Costs"/>
      <sheetName val="Capital Costs"/>
      <sheetName val="Plant Scaling"/>
      <sheetName val="Carbon Sequestration"/>
      <sheetName val="Results"/>
      <sheetName val="Tornado Charts &amp; Risk Analysis"/>
      <sheetName val="Cash Flow Analysis"/>
      <sheetName val="Energy Feed &amp; Utility Prices"/>
      <sheetName val="Non-Energy Material Prices"/>
      <sheetName val="AEO Data"/>
      <sheetName val="HyARC Physical Property Data"/>
      <sheetName val="Debt Financing Calculations"/>
      <sheetName val="Depreciation"/>
      <sheetName val="Constants and Conversions"/>
      <sheetName val="Lis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4EE77-1185-46E2-997D-8C49B3730327}">
  <dimension ref="A1:AP87"/>
  <sheetViews>
    <sheetView tabSelected="1" zoomScale="70" zoomScaleNormal="70" workbookViewId="0">
      <selection activeCell="N61" sqref="N61"/>
    </sheetView>
  </sheetViews>
  <sheetFormatPr defaultRowHeight="15" x14ac:dyDescent="0.25"/>
  <cols>
    <col min="1" max="1" width="13.7109375" bestFit="1" customWidth="1"/>
    <col min="2" max="2" width="34.28515625" bestFit="1" customWidth="1"/>
    <col min="3" max="5" width="16.7109375" customWidth="1"/>
    <col min="6" max="6" width="17.7109375" bestFit="1" customWidth="1"/>
    <col min="7" max="9" width="16.7109375" customWidth="1"/>
    <col min="13" max="13" width="9.140625" customWidth="1"/>
    <col min="16" max="16" width="12.7109375" customWidth="1"/>
    <col min="23" max="23" width="16" bestFit="1" customWidth="1"/>
    <col min="29" max="29" width="12" bestFit="1" customWidth="1"/>
    <col min="30" max="31" width="12" customWidth="1"/>
    <col min="40" max="40" width="13.42578125" bestFit="1" customWidth="1"/>
    <col min="41" max="41" width="12" bestFit="1" customWidth="1"/>
  </cols>
  <sheetData>
    <row r="1" spans="2:23" x14ac:dyDescent="0.25">
      <c r="C1" s="4" t="s">
        <v>0</v>
      </c>
      <c r="F1" s="27" t="s">
        <v>1</v>
      </c>
      <c r="I1" s="4" t="s">
        <v>2</v>
      </c>
    </row>
    <row r="2" spans="2:23" x14ac:dyDescent="0.25">
      <c r="B2" s="1" t="s">
        <v>3</v>
      </c>
      <c r="C2" s="3">
        <v>0.9</v>
      </c>
      <c r="D2" s="3">
        <v>0.9</v>
      </c>
      <c r="E2" s="3">
        <v>0.9</v>
      </c>
      <c r="F2" s="15">
        <v>0.9</v>
      </c>
      <c r="G2" s="3">
        <v>0.9</v>
      </c>
      <c r="H2" s="3">
        <v>0.9</v>
      </c>
      <c r="I2" s="3">
        <v>0.9</v>
      </c>
      <c r="N2" s="4" t="s">
        <v>4</v>
      </c>
      <c r="W2" t="s">
        <v>132</v>
      </c>
    </row>
    <row r="3" spans="2:23" x14ac:dyDescent="0.25">
      <c r="B3" s="1" t="s">
        <v>5</v>
      </c>
      <c r="C3" s="2">
        <v>1266638.3999999999</v>
      </c>
      <c r="D3" s="2">
        <v>1266638.3999999999</v>
      </c>
      <c r="E3" s="2">
        <v>1266638.3999999999</v>
      </c>
      <c r="F3" s="16">
        <v>1266638.3999999999</v>
      </c>
      <c r="G3" s="2">
        <v>1266638.3999999999</v>
      </c>
      <c r="H3" s="2">
        <v>1266638.3999999999</v>
      </c>
      <c r="I3" s="2">
        <v>1266638.3999999999</v>
      </c>
      <c r="N3" t="s">
        <v>6</v>
      </c>
      <c r="W3" t="s">
        <v>144</v>
      </c>
    </row>
    <row r="4" spans="2:23" x14ac:dyDescent="0.25">
      <c r="B4" s="11" t="s">
        <v>7</v>
      </c>
      <c r="C4" s="12">
        <f>P5</f>
        <v>65934.065934065933</v>
      </c>
      <c r="D4" s="12">
        <f>C4*3</f>
        <v>197802.1978021978</v>
      </c>
      <c r="E4" s="12">
        <f t="shared" ref="E4:H4" si="0">D4*3</f>
        <v>593406.59340659343</v>
      </c>
      <c r="F4" s="17">
        <v>1266638.3999999999</v>
      </c>
      <c r="G4" s="12">
        <f>E4*3</f>
        <v>1780219.7802197803</v>
      </c>
      <c r="H4" s="12">
        <f t="shared" si="0"/>
        <v>5340659.3406593408</v>
      </c>
      <c r="I4" s="12">
        <f>P6</f>
        <v>10804945.054945055</v>
      </c>
    </row>
    <row r="5" spans="2:23" x14ac:dyDescent="0.25">
      <c r="B5" s="1" t="s">
        <v>8</v>
      </c>
      <c r="C5" s="3">
        <f t="shared" ref="C5:I5" si="1">C4/C3</f>
        <v>5.205437158234421E-2</v>
      </c>
      <c r="D5" s="3">
        <f t="shared" si="1"/>
        <v>0.15616311474703262</v>
      </c>
      <c r="E5" s="3">
        <f t="shared" si="1"/>
        <v>0.46848934424109789</v>
      </c>
      <c r="F5" s="15">
        <f>F4/F3</f>
        <v>1</v>
      </c>
      <c r="G5" s="3">
        <f t="shared" si="1"/>
        <v>1.4054680327232938</v>
      </c>
      <c r="H5" s="3">
        <f t="shared" si="1"/>
        <v>4.2164040981698809</v>
      </c>
      <c r="I5" s="3">
        <f t="shared" si="1"/>
        <v>8.5304101430566579</v>
      </c>
      <c r="N5" s="2">
        <v>24</v>
      </c>
      <c r="O5" s="1" t="s">
        <v>9</v>
      </c>
      <c r="P5" s="2">
        <f>N5/364*1000000</f>
        <v>65934.065934065933</v>
      </c>
      <c r="Q5" s="1" t="s">
        <v>10</v>
      </c>
    </row>
    <row r="6" spans="2:23" x14ac:dyDescent="0.25">
      <c r="B6" s="1" t="s">
        <v>11</v>
      </c>
      <c r="C6" s="2">
        <f t="shared" ref="C6:I7" si="2">C4*365*C2</f>
        <v>21659340.659340661</v>
      </c>
      <c r="D6" s="2">
        <f t="shared" si="2"/>
        <v>64978021.978021979</v>
      </c>
      <c r="E6" s="2">
        <f t="shared" si="2"/>
        <v>194934065.93406594</v>
      </c>
      <c r="F6" s="16">
        <f>F4*365*F2</f>
        <v>416090714.39999998</v>
      </c>
      <c r="G6" s="2">
        <f t="shared" si="2"/>
        <v>584802197.80219781</v>
      </c>
      <c r="H6" s="2">
        <f t="shared" si="2"/>
        <v>1754406593.4065936</v>
      </c>
      <c r="I6" s="2">
        <f t="shared" si="2"/>
        <v>3549424450.5494504</v>
      </c>
      <c r="N6" s="2">
        <v>3933</v>
      </c>
      <c r="O6" s="1" t="s">
        <v>9</v>
      </c>
      <c r="P6" s="2">
        <f>N6/364*1000000</f>
        <v>10804945.054945055</v>
      </c>
      <c r="Q6" s="1" t="s">
        <v>10</v>
      </c>
    </row>
    <row r="7" spans="2:23" x14ac:dyDescent="0.25">
      <c r="B7" s="11" t="s">
        <v>129</v>
      </c>
      <c r="C7" s="12">
        <f t="shared" ref="C7:I7" si="3">C4/24</f>
        <v>2747.2527472527472</v>
      </c>
      <c r="D7" s="12">
        <f t="shared" si="3"/>
        <v>8241.7582417582416</v>
      </c>
      <c r="E7" s="12">
        <f t="shared" si="3"/>
        <v>24725.274725274725</v>
      </c>
      <c r="F7" s="17">
        <f>F4/24</f>
        <v>52776.6</v>
      </c>
      <c r="G7" s="12">
        <f t="shared" ref="G7:I7" si="4">G4/24</f>
        <v>74175.824175824178</v>
      </c>
      <c r="H7" s="12">
        <f t="shared" si="4"/>
        <v>222527.47252747254</v>
      </c>
      <c r="I7" s="12">
        <f t="shared" si="4"/>
        <v>450206.04395604396</v>
      </c>
      <c r="N7" s="34"/>
      <c r="O7" s="33"/>
      <c r="P7" s="34"/>
      <c r="Q7" s="33"/>
    </row>
    <row r="8" spans="2:23" x14ac:dyDescent="0.25">
      <c r="C8" s="5"/>
      <c r="D8" s="5"/>
      <c r="E8" s="5"/>
      <c r="F8" s="18"/>
      <c r="G8" s="5"/>
      <c r="H8" s="5"/>
      <c r="I8" s="5"/>
    </row>
    <row r="9" spans="2:23" x14ac:dyDescent="0.25">
      <c r="B9" s="1" t="s">
        <v>12</v>
      </c>
      <c r="C9" s="1">
        <f>$F$9</f>
        <v>4.83</v>
      </c>
      <c r="D9" s="1">
        <f>$F$9</f>
        <v>4.83</v>
      </c>
      <c r="E9" s="1">
        <f>$F$9</f>
        <v>4.83</v>
      </c>
      <c r="F9" s="19">
        <v>4.83</v>
      </c>
      <c r="G9" s="1">
        <f>$F$9</f>
        <v>4.83</v>
      </c>
      <c r="H9" s="1">
        <f>$F$9</f>
        <v>4.83</v>
      </c>
      <c r="I9" s="1">
        <f>$F$9</f>
        <v>4.83</v>
      </c>
    </row>
    <row r="10" spans="2:23" x14ac:dyDescent="0.25">
      <c r="B10" s="1" t="s">
        <v>13</v>
      </c>
      <c r="C10" s="3">
        <v>0.197284403</v>
      </c>
      <c r="D10" s="3">
        <v>0.197284403</v>
      </c>
      <c r="E10" s="3">
        <v>0.197284403</v>
      </c>
      <c r="F10" s="15">
        <v>0.197284403</v>
      </c>
      <c r="G10" s="3">
        <v>0.197284403</v>
      </c>
      <c r="H10" s="3">
        <v>0.197284403</v>
      </c>
      <c r="I10" s="3">
        <v>0.197284403</v>
      </c>
    </row>
    <row r="11" spans="2:23" x14ac:dyDescent="0.25">
      <c r="B11" s="11" t="s">
        <v>14</v>
      </c>
      <c r="C11" s="12">
        <f t="shared" ref="C11:I11" si="5">C9*C10*C6</f>
        <v>20638831.941228464</v>
      </c>
      <c r="D11" s="12">
        <f t="shared" si="5"/>
        <v>61916495.823685385</v>
      </c>
      <c r="E11" s="12">
        <f t="shared" si="5"/>
        <v>185749487.47105616</v>
      </c>
      <c r="F11" s="17">
        <f t="shared" si="5"/>
        <v>396486045.52991539</v>
      </c>
      <c r="G11" s="12">
        <f t="shared" si="5"/>
        <v>557248462.41316843</v>
      </c>
      <c r="H11" s="12">
        <f t="shared" si="5"/>
        <v>1671745387.2395055</v>
      </c>
      <c r="I11" s="12">
        <f t="shared" si="5"/>
        <v>3382188584.368814</v>
      </c>
    </row>
    <row r="12" spans="2:23" x14ac:dyDescent="0.25">
      <c r="F12" s="14"/>
    </row>
    <row r="13" spans="2:23" x14ac:dyDescent="0.25">
      <c r="B13" s="1" t="s">
        <v>15</v>
      </c>
      <c r="C13" s="3">
        <v>6.9825185425906086E-2</v>
      </c>
      <c r="D13" s="3">
        <v>6.9825185425906086E-2</v>
      </c>
      <c r="E13" s="3">
        <v>6.9825185425906086E-2</v>
      </c>
      <c r="F13" s="15">
        <v>6.9825185425906086E-2</v>
      </c>
      <c r="G13" s="3">
        <v>6.9825185425906086E-2</v>
      </c>
      <c r="H13" s="3">
        <v>6.9825185425906086E-2</v>
      </c>
      <c r="I13" s="3">
        <v>6.9825185425906086E-2</v>
      </c>
    </row>
    <row r="14" spans="2:23" x14ac:dyDescent="0.25">
      <c r="B14" s="1" t="s">
        <v>16</v>
      </c>
      <c r="C14" s="3">
        <v>0.53064524300000004</v>
      </c>
      <c r="D14" s="3">
        <v>0.53064524300000004</v>
      </c>
      <c r="E14" s="3">
        <v>0.53064524300000004</v>
      </c>
      <c r="F14" s="15">
        <v>0.53064524300000004</v>
      </c>
      <c r="G14" s="3">
        <v>0.53064524300000004</v>
      </c>
      <c r="H14" s="3">
        <v>0.53064524300000004</v>
      </c>
      <c r="I14" s="3">
        <v>0.53064524300000004</v>
      </c>
    </row>
    <row r="15" spans="2:23" x14ac:dyDescent="0.25">
      <c r="B15" s="1" t="s">
        <v>17</v>
      </c>
      <c r="C15" s="2">
        <f t="shared" ref="C15:I15" si="6">C13*C14*C6</f>
        <v>802530.60773134441</v>
      </c>
      <c r="D15" s="2">
        <f t="shared" si="6"/>
        <v>2407591.823194033</v>
      </c>
      <c r="E15" s="2">
        <f t="shared" si="6"/>
        <v>7222775.4695820995</v>
      </c>
      <c r="F15" s="16">
        <f t="shared" si="6"/>
        <v>15417160.62140584</v>
      </c>
      <c r="G15" s="2">
        <f t="shared" si="6"/>
        <v>21668326.408746298</v>
      </c>
      <c r="H15" s="2">
        <f t="shared" si="6"/>
        <v>65004979.226238899</v>
      </c>
      <c r="I15" s="2">
        <f t="shared" si="6"/>
        <v>131514703.34197405</v>
      </c>
    </row>
    <row r="16" spans="2:23" x14ac:dyDescent="0.25">
      <c r="B16" s="1" t="s">
        <v>18</v>
      </c>
      <c r="C16" s="8">
        <v>1.1334993860117458E-4</v>
      </c>
      <c r="D16" s="8">
        <v>1.1334993860117458E-4</v>
      </c>
      <c r="E16" s="8">
        <v>1.1334993860117458E-4</v>
      </c>
      <c r="F16" s="20">
        <v>1.1334993860117458E-4</v>
      </c>
      <c r="G16" s="8">
        <v>1.1334993860117458E-4</v>
      </c>
      <c r="H16" s="8">
        <v>1.1334993860117458E-4</v>
      </c>
      <c r="I16" s="8">
        <v>1.1334993860117458E-4</v>
      </c>
    </row>
    <row r="17" spans="2:9" x14ac:dyDescent="0.25">
      <c r="B17" s="1" t="s">
        <v>19</v>
      </c>
      <c r="C17" s="9">
        <v>4.9236823999999998E-2</v>
      </c>
      <c r="D17" s="9">
        <v>4.9236823999999998E-2</v>
      </c>
      <c r="E17" s="9">
        <v>4.9236823999999998E-2</v>
      </c>
      <c r="F17" s="21">
        <v>4.9236823999999998E-2</v>
      </c>
      <c r="G17" s="9">
        <v>4.9236823999999998E-2</v>
      </c>
      <c r="H17" s="9">
        <v>4.9236823999999998E-2</v>
      </c>
      <c r="I17" s="9">
        <v>4.9236823999999998E-2</v>
      </c>
    </row>
    <row r="18" spans="2:9" x14ac:dyDescent="0.25">
      <c r="B18" s="1" t="s">
        <v>20</v>
      </c>
      <c r="C18" s="9">
        <v>23.199773409999999</v>
      </c>
      <c r="D18" s="9">
        <v>23.199773409999999</v>
      </c>
      <c r="E18" s="9">
        <v>23.199773409999999</v>
      </c>
      <c r="F18" s="21">
        <v>23.199773409999999</v>
      </c>
      <c r="G18" s="9">
        <v>23.199773409999999</v>
      </c>
      <c r="H18" s="9">
        <v>23.199773409999999</v>
      </c>
      <c r="I18" s="9">
        <v>23.199773409999999</v>
      </c>
    </row>
    <row r="19" spans="2:9" x14ac:dyDescent="0.25">
      <c r="B19" s="1" t="s">
        <v>21</v>
      </c>
      <c r="C19" s="8">
        <v>9.1295354067341011E-5</v>
      </c>
      <c r="D19" s="8">
        <v>9.1295354067341011E-5</v>
      </c>
      <c r="E19" s="8">
        <v>9.1295354067341011E-5</v>
      </c>
      <c r="F19" s="20">
        <v>9.1295354067341011E-5</v>
      </c>
      <c r="G19" s="8">
        <v>9.1295354067341011E-5</v>
      </c>
      <c r="H19" s="8">
        <v>9.1295354067341011E-5</v>
      </c>
      <c r="I19" s="8">
        <v>9.1295354067341011E-5</v>
      </c>
    </row>
    <row r="20" spans="2:9" x14ac:dyDescent="0.25">
      <c r="B20" s="1" t="s">
        <v>22</v>
      </c>
      <c r="C20" s="2">
        <f t="shared" ref="C20:I20" si="7">(C16*C17+C18*C19)*C6</f>
        <v>45996.046971512806</v>
      </c>
      <c r="D20" s="2">
        <f t="shared" si="7"/>
        <v>137988.14091453841</v>
      </c>
      <c r="E20" s="2">
        <f t="shared" si="7"/>
        <v>413964.42274361523</v>
      </c>
      <c r="F20" s="16">
        <f t="shared" si="7"/>
        <v>883615.45002521423</v>
      </c>
      <c r="G20" s="2">
        <f t="shared" si="7"/>
        <v>1241893.2682308457</v>
      </c>
      <c r="H20" s="2">
        <f t="shared" si="7"/>
        <v>3725679.8046925371</v>
      </c>
      <c r="I20" s="2">
        <f t="shared" si="7"/>
        <v>7537602.1974566597</v>
      </c>
    </row>
    <row r="21" spans="2:9" x14ac:dyDescent="0.25">
      <c r="B21" s="11" t="s">
        <v>23</v>
      </c>
      <c r="C21" s="12">
        <f t="shared" ref="C21:I21" si="8">C20+C15</f>
        <v>848526.65470285725</v>
      </c>
      <c r="D21" s="12">
        <f t="shared" si="8"/>
        <v>2545579.9641085714</v>
      </c>
      <c r="E21" s="12">
        <f t="shared" si="8"/>
        <v>7636739.8923257142</v>
      </c>
      <c r="F21" s="17">
        <f t="shared" si="8"/>
        <v>16300776.071431054</v>
      </c>
      <c r="G21" s="12">
        <f t="shared" si="8"/>
        <v>22910219.676977143</v>
      </c>
      <c r="H21" s="12">
        <f t="shared" si="8"/>
        <v>68730659.030931443</v>
      </c>
      <c r="I21" s="12">
        <f t="shared" si="8"/>
        <v>139052305.53943071</v>
      </c>
    </row>
    <row r="22" spans="2:9" x14ac:dyDescent="0.25">
      <c r="C22" s="5"/>
      <c r="D22" s="5"/>
      <c r="E22" s="5"/>
      <c r="F22" s="22"/>
      <c r="G22" s="5"/>
      <c r="H22" s="5"/>
      <c r="I22" s="5"/>
    </row>
    <row r="23" spans="2:9" x14ac:dyDescent="0.25">
      <c r="B23" s="1" t="s">
        <v>24</v>
      </c>
      <c r="C23" s="9">
        <v>2.8521089161772557E-2</v>
      </c>
      <c r="D23" s="9">
        <v>2.8521089161772557E-2</v>
      </c>
      <c r="E23" s="9">
        <v>2.8521089161772557E-2</v>
      </c>
      <c r="F23" s="21">
        <v>2.8521089161772557E-2</v>
      </c>
      <c r="G23" s="9">
        <v>2.8521089161772557E-2</v>
      </c>
      <c r="H23" s="9">
        <v>2.8521089161772557E-2</v>
      </c>
      <c r="I23" s="9">
        <v>2.8521089161772557E-2</v>
      </c>
    </row>
    <row r="24" spans="2:9" x14ac:dyDescent="0.25">
      <c r="B24" s="1" t="s">
        <v>25</v>
      </c>
      <c r="C24" s="9">
        <v>0.29405077250144951</v>
      </c>
      <c r="D24" s="9">
        <v>0.29405077250144951</v>
      </c>
      <c r="E24" s="9">
        <v>0.29405077250144951</v>
      </c>
      <c r="F24" s="21">
        <v>0.29405077250144951</v>
      </c>
      <c r="G24" s="9">
        <v>0.29405077250144951</v>
      </c>
      <c r="H24" s="9">
        <v>0.29405077250144951</v>
      </c>
      <c r="I24" s="9">
        <v>0.29405077250144951</v>
      </c>
    </row>
    <row r="25" spans="2:9" x14ac:dyDescent="0.25">
      <c r="B25" s="11" t="s">
        <v>26</v>
      </c>
      <c r="C25" s="12">
        <f t="shared" ref="C25:I25" si="9">C23*C24*C6</f>
        <v>181649.27253281785</v>
      </c>
      <c r="D25" s="12">
        <f t="shared" si="9"/>
        <v>544947.81759845349</v>
      </c>
      <c r="E25" s="12">
        <f t="shared" si="9"/>
        <v>1634843.4527953605</v>
      </c>
      <c r="F25" s="17">
        <f t="shared" si="9"/>
        <v>3489606.4828190068</v>
      </c>
      <c r="G25" s="12">
        <f t="shared" si="9"/>
        <v>4904530.3583860816</v>
      </c>
      <c r="H25" s="12">
        <f t="shared" si="9"/>
        <v>14713591.075158246</v>
      </c>
      <c r="I25" s="12">
        <f t="shared" si="9"/>
        <v>29767774.536315519</v>
      </c>
    </row>
    <row r="26" spans="2:9" x14ac:dyDescent="0.25">
      <c r="C26" s="7"/>
      <c r="D26" s="7"/>
      <c r="E26" s="7"/>
      <c r="F26" s="23"/>
      <c r="G26" s="7"/>
      <c r="H26" s="7"/>
      <c r="I26" s="7"/>
    </row>
    <row r="27" spans="2:9" x14ac:dyDescent="0.25">
      <c r="B27" s="1" t="s">
        <v>27</v>
      </c>
      <c r="C27" s="3">
        <v>0.6</v>
      </c>
      <c r="D27" s="3">
        <v>0.6</v>
      </c>
      <c r="E27" s="3">
        <v>0.6</v>
      </c>
      <c r="F27" s="15">
        <v>0.6</v>
      </c>
      <c r="G27" s="3">
        <v>0.6</v>
      </c>
      <c r="H27" s="3">
        <v>0.6</v>
      </c>
      <c r="I27" s="3">
        <v>0.6</v>
      </c>
    </row>
    <row r="28" spans="2:9" x14ac:dyDescent="0.25">
      <c r="B28" s="1" t="s">
        <v>28</v>
      </c>
      <c r="C28" s="2">
        <f t="shared" ref="C28:I28" si="10">22506100*C5^C27</f>
        <v>3820978.2796789994</v>
      </c>
      <c r="D28" s="2">
        <f t="shared" si="10"/>
        <v>7386646.6043496961</v>
      </c>
      <c r="E28" s="2">
        <f t="shared" si="10"/>
        <v>14279732.587785009</v>
      </c>
      <c r="F28" s="16">
        <f t="shared" si="10"/>
        <v>22506100</v>
      </c>
      <c r="G28" s="2">
        <f t="shared" si="10"/>
        <v>27605322.645132955</v>
      </c>
      <c r="H28" s="2">
        <f t="shared" si="10"/>
        <v>53366114.082119219</v>
      </c>
      <c r="I28" s="2">
        <f t="shared" si="10"/>
        <v>81448331.447951332</v>
      </c>
    </row>
    <row r="29" spans="2:9" x14ac:dyDescent="0.25">
      <c r="B29" s="1" t="s">
        <v>29</v>
      </c>
      <c r="C29" s="2">
        <f t="shared" ref="C29:I29" si="11">18642800*C5^C27</f>
        <v>3165085.6377781867</v>
      </c>
      <c r="D29" s="2">
        <f t="shared" si="11"/>
        <v>6118686.7256241869</v>
      </c>
      <c r="E29" s="2">
        <f t="shared" si="11"/>
        <v>11828535.316538999</v>
      </c>
      <c r="F29" s="16">
        <f t="shared" si="11"/>
        <v>18642800</v>
      </c>
      <c r="G29" s="2">
        <f t="shared" si="11"/>
        <v>22866712.091774438</v>
      </c>
      <c r="H29" s="2">
        <f t="shared" si="11"/>
        <v>44205517.242442369</v>
      </c>
      <c r="I29" s="2">
        <f t="shared" si="11"/>
        <v>67467262.365219519</v>
      </c>
    </row>
    <row r="30" spans="2:9" x14ac:dyDescent="0.25">
      <c r="B30" s="1" t="s">
        <v>30</v>
      </c>
      <c r="C30" s="2">
        <f t="shared" ref="C30:I30" si="12">7069100*C5^C27</f>
        <v>1200158.0707843124</v>
      </c>
      <c r="D30" s="2">
        <f t="shared" si="12"/>
        <v>2320124.0335201761</v>
      </c>
      <c r="E30" s="2">
        <f t="shared" si="12"/>
        <v>4485222.1236158647</v>
      </c>
      <c r="F30" s="16">
        <f t="shared" si="12"/>
        <v>7069100</v>
      </c>
      <c r="G30" s="2">
        <f t="shared" si="12"/>
        <v>8670750.8769049011</v>
      </c>
      <c r="H30" s="2">
        <f t="shared" si="12"/>
        <v>16762139.91130889</v>
      </c>
      <c r="I30" s="2">
        <f t="shared" si="12"/>
        <v>25582682.021261472</v>
      </c>
    </row>
    <row r="31" spans="2:9" x14ac:dyDescent="0.25">
      <c r="B31" s="1" t="s">
        <v>31</v>
      </c>
      <c r="C31" s="2">
        <f t="shared" ref="C31:I31" si="13">4799200*C5^C27</f>
        <v>814785.27865047497</v>
      </c>
      <c r="D31" s="2">
        <f t="shared" si="13"/>
        <v>1575128.2711618212</v>
      </c>
      <c r="E31" s="2">
        <f t="shared" si="13"/>
        <v>3045009.6922744419</v>
      </c>
      <c r="F31" s="16">
        <f t="shared" si="13"/>
        <v>4799200</v>
      </c>
      <c r="G31" s="2">
        <f t="shared" si="13"/>
        <v>5886558.0637481436</v>
      </c>
      <c r="H31" s="2">
        <f t="shared" si="13"/>
        <v>11379788.355286192</v>
      </c>
      <c r="I31" s="2">
        <f t="shared" si="13"/>
        <v>17368039.433087386</v>
      </c>
    </row>
    <row r="32" spans="2:9" x14ac:dyDescent="0.25">
      <c r="B32" s="11" t="s">
        <v>32</v>
      </c>
      <c r="C32" s="12">
        <f t="shared" ref="C32:I32" si="14">SUM(C28:C31)</f>
        <v>9001007.2668919731</v>
      </c>
      <c r="D32" s="12">
        <f t="shared" si="14"/>
        <v>17400585.634655882</v>
      </c>
      <c r="E32" s="12">
        <f t="shared" si="14"/>
        <v>33638499.720214315</v>
      </c>
      <c r="F32" s="17">
        <f t="shared" si="14"/>
        <v>53017200</v>
      </c>
      <c r="G32" s="12">
        <f t="shared" si="14"/>
        <v>65029343.677560441</v>
      </c>
      <c r="H32" s="12">
        <f t="shared" si="14"/>
        <v>125713559.59115668</v>
      </c>
      <c r="I32" s="12">
        <f t="shared" si="14"/>
        <v>191866315.26751971</v>
      </c>
    </row>
    <row r="33" spans="1:9" x14ac:dyDescent="0.25">
      <c r="A33" s="5"/>
      <c r="B33" s="1" t="s">
        <v>33</v>
      </c>
      <c r="C33" s="2">
        <f t="shared" ref="C33:I33" si="15">C32*0.42+4112701.84103543*C5</f>
        <v>3994507.1619352777</v>
      </c>
      <c r="D33" s="2">
        <f t="shared" si="15"/>
        <v>7950498.2960774181</v>
      </c>
      <c r="E33" s="2">
        <f t="shared" si="15"/>
        <v>16054926.871055856</v>
      </c>
      <c r="F33" s="16">
        <f t="shared" si="15"/>
        <v>26379925.841035429</v>
      </c>
      <c r="G33" s="2">
        <f t="shared" si="15"/>
        <v>33092595.310272917</v>
      </c>
      <c r="H33" s="2">
        <f t="shared" si="15"/>
        <v>70140507.925378397</v>
      </c>
      <c r="I33" s="2">
        <f t="shared" si="15"/>
        <v>115666885.91249469</v>
      </c>
    </row>
    <row r="34" spans="1:9" x14ac:dyDescent="0.25">
      <c r="A34" s="29"/>
      <c r="B34" s="1" t="s">
        <v>34</v>
      </c>
      <c r="C34" s="2">
        <f t="shared" ref="C34:I34" si="16">C32+C33+2500000*C5^C27</f>
        <v>13419952.501136424</v>
      </c>
      <c r="D34" s="2">
        <f t="shared" si="16"/>
        <v>26171599.991306845</v>
      </c>
      <c r="E34" s="2">
        <f t="shared" si="16"/>
        <v>51279633.507149093</v>
      </c>
      <c r="F34" s="16">
        <f t="shared" si="16"/>
        <v>81897125.841035426</v>
      </c>
      <c r="G34" s="2">
        <f t="shared" si="16"/>
        <v>101188365.71715707</v>
      </c>
      <c r="H34" s="2">
        <f t="shared" si="16"/>
        <v>201782028.61176249</v>
      </c>
      <c r="I34" s="2">
        <f t="shared" si="16"/>
        <v>316580562.94504154</v>
      </c>
    </row>
    <row r="35" spans="1:9" x14ac:dyDescent="0.25">
      <c r="C35" s="5"/>
      <c r="D35" s="5"/>
      <c r="E35" s="5"/>
      <c r="F35" s="18"/>
      <c r="G35" s="5"/>
      <c r="H35" s="5"/>
      <c r="I35" s="5"/>
    </row>
    <row r="36" spans="1:9" x14ac:dyDescent="0.25">
      <c r="B36" s="1" t="s">
        <v>35</v>
      </c>
      <c r="C36" s="1">
        <v>0.25</v>
      </c>
      <c r="D36" s="1">
        <v>0.25</v>
      </c>
      <c r="E36" s="1">
        <v>0.25</v>
      </c>
      <c r="F36" s="19">
        <v>0.25</v>
      </c>
      <c r="G36" s="1">
        <v>0.25</v>
      </c>
      <c r="H36" s="1">
        <v>0.25</v>
      </c>
      <c r="I36" s="1">
        <v>0.25</v>
      </c>
    </row>
    <row r="37" spans="1:9" x14ac:dyDescent="0.25">
      <c r="B37" s="11" t="s">
        <v>36</v>
      </c>
      <c r="C37" s="12">
        <f t="shared" ref="C37:I37" si="17">57*50*2080*C5^C36</f>
        <v>2831538.6689083264</v>
      </c>
      <c r="D37" s="12">
        <f t="shared" si="17"/>
        <v>3726514.4588203398</v>
      </c>
      <c r="E37" s="12">
        <f t="shared" si="17"/>
        <v>4904368.8381451704</v>
      </c>
      <c r="F37" s="17">
        <f t="shared" si="17"/>
        <v>5928000</v>
      </c>
      <c r="G37" s="12">
        <f t="shared" si="17"/>
        <v>6454512.377816868</v>
      </c>
      <c r="H37" s="12">
        <f t="shared" si="17"/>
        <v>8494616.0067249797</v>
      </c>
      <c r="I37" s="12">
        <f t="shared" si="17"/>
        <v>10130961.690856678</v>
      </c>
    </row>
    <row r="38" spans="1:9" x14ac:dyDescent="0.25">
      <c r="B38" s="1" t="s">
        <v>37</v>
      </c>
      <c r="C38" s="2">
        <f t="shared" ref="C38:I38" si="18">C37*0.2</f>
        <v>566307.73378166533</v>
      </c>
      <c r="D38" s="2">
        <f t="shared" si="18"/>
        <v>745302.89176406804</v>
      </c>
      <c r="E38" s="2">
        <f t="shared" si="18"/>
        <v>980873.76762903412</v>
      </c>
      <c r="F38" s="16">
        <f>F37*0.2</f>
        <v>1185600</v>
      </c>
      <c r="G38" s="2">
        <f t="shared" si="18"/>
        <v>1290902.4755633736</v>
      </c>
      <c r="H38" s="2">
        <f t="shared" si="18"/>
        <v>1698923.201344996</v>
      </c>
      <c r="I38" s="2">
        <f t="shared" si="18"/>
        <v>2026192.3381713359</v>
      </c>
    </row>
    <row r="39" spans="1:9" x14ac:dyDescent="0.25">
      <c r="B39" s="1" t="s">
        <v>38</v>
      </c>
      <c r="C39" s="2">
        <f t="shared" ref="C39:I39" si="19">C34*0.02</f>
        <v>268399.05002272851</v>
      </c>
      <c r="D39" s="2">
        <f t="shared" si="19"/>
        <v>523431.99982613692</v>
      </c>
      <c r="E39" s="2">
        <f t="shared" si="19"/>
        <v>1025592.6701429819</v>
      </c>
      <c r="F39" s="16">
        <f>F34*0.02</f>
        <v>1637942.5168207085</v>
      </c>
      <c r="G39" s="2">
        <f t="shared" si="19"/>
        <v>2023767.3143431414</v>
      </c>
      <c r="H39" s="2">
        <f t="shared" si="19"/>
        <v>4035640.5722352499</v>
      </c>
      <c r="I39" s="2">
        <f t="shared" si="19"/>
        <v>6331611.2589008305</v>
      </c>
    </row>
    <row r="40" spans="1:9" x14ac:dyDescent="0.25">
      <c r="B40" s="1" t="s">
        <v>39</v>
      </c>
      <c r="C40" s="2">
        <f t="shared" ref="C40:I40" si="20">C32*0.005*C5^C27</f>
        <v>7640.7403464009903</v>
      </c>
      <c r="D40" s="2">
        <f t="shared" si="20"/>
        <v>28554.919953240893</v>
      </c>
      <c r="E40" s="2">
        <f t="shared" si="20"/>
        <v>106715.24179199</v>
      </c>
      <c r="F40" s="16">
        <f t="shared" si="20"/>
        <v>265086</v>
      </c>
      <c r="G40" s="2">
        <f t="shared" si="20"/>
        <v>398815.43528649851</v>
      </c>
      <c r="H40" s="2">
        <f t="shared" si="20"/>
        <v>1490450.180797864</v>
      </c>
      <c r="I40" s="2">
        <f t="shared" si="20"/>
        <v>3471767.9294960191</v>
      </c>
    </row>
    <row r="41" spans="1:9" x14ac:dyDescent="0.25">
      <c r="B41" s="11" t="s">
        <v>40</v>
      </c>
      <c r="C41" s="12">
        <f t="shared" ref="C41:I41" si="21">C37+C38+C39+C40</f>
        <v>3673886.1930591213</v>
      </c>
      <c r="D41" s="12">
        <f t="shared" si="21"/>
        <v>5023804.2703637863</v>
      </c>
      <c r="E41" s="12">
        <f t="shared" si="21"/>
        <v>7017550.5177091761</v>
      </c>
      <c r="F41" s="17">
        <f>F37+F38+F39+F40</f>
        <v>9016628.5168207083</v>
      </c>
      <c r="G41" s="12">
        <f t="shared" si="21"/>
        <v>10167997.603009881</v>
      </c>
      <c r="H41" s="12">
        <f t="shared" si="21"/>
        <v>15719629.961103089</v>
      </c>
      <c r="I41" s="12">
        <f t="shared" si="21"/>
        <v>21960533.217424862</v>
      </c>
    </row>
    <row r="42" spans="1:9" x14ac:dyDescent="0.25">
      <c r="F42" s="14"/>
    </row>
    <row r="43" spans="1:9" x14ac:dyDescent="0.25">
      <c r="B43" s="4" t="s">
        <v>41</v>
      </c>
      <c r="F43" s="14"/>
    </row>
    <row r="44" spans="1:9" x14ac:dyDescent="0.25">
      <c r="B44" s="11" t="s">
        <v>42</v>
      </c>
      <c r="C44" s="13">
        <f>SUM(C45:C51)</f>
        <v>1.2391684014200315</v>
      </c>
      <c r="D44" s="13">
        <f t="shared" ref="D44:I44" si="22">SUM(D45:D51)</f>
        <v>1.1278735661475128</v>
      </c>
      <c r="E44" s="13">
        <f t="shared" si="22"/>
        <v>1.0750288242757915</v>
      </c>
      <c r="F44" s="24">
        <f>SUM(F45:F51)</f>
        <v>1.0554381692605828</v>
      </c>
      <c r="G44" s="13">
        <f t="shared" si="22"/>
        <v>1.0492991108453986</v>
      </c>
      <c r="H44" s="13">
        <f t="shared" si="22"/>
        <v>1.0364247666840019</v>
      </c>
      <c r="I44" s="13">
        <f t="shared" si="22"/>
        <v>1.0317103469196081</v>
      </c>
    </row>
    <row r="45" spans="1:9" x14ac:dyDescent="0.25">
      <c r="B45" s="1" t="s">
        <v>43</v>
      </c>
      <c r="C45" s="6">
        <f>SUM(-C54,C56:C59,C65:C67)</f>
        <v>6.5297384482281701E-2</v>
      </c>
      <c r="D45" s="6">
        <f t="shared" ref="D45:I45" si="23">SUM(-D54,D56:D59,D65:D67)</f>
        <v>4.8256943889975798E-2</v>
      </c>
      <c r="E45" s="6">
        <f t="shared" si="23"/>
        <v>3.7616758614428827E-2</v>
      </c>
      <c r="F45" s="25">
        <f t="shared" si="23"/>
        <v>3.2671004243371909E-2</v>
      </c>
      <c r="G45" s="6">
        <f t="shared" si="23"/>
        <v>3.0910481900717195E-2</v>
      </c>
      <c r="H45" s="6">
        <f t="shared" si="23"/>
        <v>2.6655869103559889E-2</v>
      </c>
      <c r="I45" s="6">
        <f t="shared" si="23"/>
        <v>2.4780505719117239E-2</v>
      </c>
    </row>
    <row r="46" spans="1:9" x14ac:dyDescent="0.25">
      <c r="B46" s="1" t="s">
        <v>44</v>
      </c>
      <c r="C46" s="10">
        <f>C60</f>
        <v>2.4096328091716845E-4</v>
      </c>
      <c r="D46" s="10">
        <f t="shared" ref="D46:I46" si="24">D60</f>
        <v>1.5668689357422802E-4</v>
      </c>
      <c r="E46" s="10">
        <f t="shared" si="24"/>
        <v>1.0237969396653245E-4</v>
      </c>
      <c r="F46" s="26">
        <f t="shared" si="24"/>
        <v>7.6633627089834374E-5</v>
      </c>
      <c r="G46" s="10">
        <f t="shared" si="24"/>
        <v>6.7384459569158327E-5</v>
      </c>
      <c r="H46" s="10">
        <f t="shared" si="24"/>
        <v>4.4833739970764326E-5</v>
      </c>
      <c r="I46" s="10">
        <f t="shared" si="24"/>
        <v>3.4796590825965697E-5</v>
      </c>
    </row>
    <row r="47" spans="1:9" x14ac:dyDescent="0.25">
      <c r="B47" s="1" t="s">
        <v>45</v>
      </c>
      <c r="C47" s="6">
        <f>C61</f>
        <v>0.17304703294636434</v>
      </c>
      <c r="D47" s="6">
        <f t="shared" ref="D47:I47" si="25">D61</f>
        <v>7.8876914653494459E-2</v>
      </c>
      <c r="E47" s="6">
        <f t="shared" si="25"/>
        <v>3.6726665256928241E-2</v>
      </c>
      <c r="F47" s="25">
        <f t="shared" si="25"/>
        <v>2.2107510679652685E-2</v>
      </c>
      <c r="G47" s="6">
        <f t="shared" si="25"/>
        <v>1.7738223774644474E-2</v>
      </c>
      <c r="H47" s="6">
        <f t="shared" si="25"/>
        <v>9.1410431300033724E-3</v>
      </c>
      <c r="I47" s="6">
        <f t="shared" si="25"/>
        <v>6.3120238991970206E-3</v>
      </c>
    </row>
    <row r="48" spans="1:9" x14ac:dyDescent="0.25">
      <c r="B48" s="1" t="s">
        <v>46</v>
      </c>
      <c r="C48" s="6">
        <f>C62</f>
        <v>0.97212827050975703</v>
      </c>
      <c r="D48" s="6">
        <f t="shared" ref="D48:I48" si="26">D62</f>
        <v>0.97212827050975703</v>
      </c>
      <c r="E48" s="6">
        <f t="shared" si="26"/>
        <v>0.97212827050975659</v>
      </c>
      <c r="F48" s="25">
        <f>F62</f>
        <v>0.97212827050975703</v>
      </c>
      <c r="G48" s="6">
        <f t="shared" si="26"/>
        <v>0.97212827050975659</v>
      </c>
      <c r="H48" s="6">
        <f t="shared" si="26"/>
        <v>0.9721282705097567</v>
      </c>
      <c r="I48" s="6">
        <f t="shared" si="26"/>
        <v>0.9721282705097567</v>
      </c>
    </row>
    <row r="49" spans="2:42" x14ac:dyDescent="0.25">
      <c r="B49" s="1" t="s">
        <v>47</v>
      </c>
      <c r="C49" s="1">
        <f>C63</f>
        <v>0</v>
      </c>
      <c r="D49" s="1">
        <f t="shared" ref="D49:I49" si="27">D63</f>
        <v>0</v>
      </c>
      <c r="E49" s="1">
        <f t="shared" si="27"/>
        <v>0</v>
      </c>
      <c r="F49" s="19">
        <f t="shared" si="27"/>
        <v>0</v>
      </c>
      <c r="G49" s="1">
        <f t="shared" si="27"/>
        <v>0</v>
      </c>
      <c r="H49" s="1">
        <f t="shared" si="27"/>
        <v>0</v>
      </c>
      <c r="I49" s="1">
        <f t="shared" si="27"/>
        <v>0</v>
      </c>
    </row>
    <row r="50" spans="2:42" x14ac:dyDescent="0.25">
      <c r="B50" s="1" t="s">
        <v>48</v>
      </c>
      <c r="C50" s="6">
        <f>-C53</f>
        <v>-8.3866483006019496E-3</v>
      </c>
      <c r="D50" s="6">
        <f t="shared" ref="D50:I50" si="28">-D53</f>
        <v>-8.3866483006019479E-3</v>
      </c>
      <c r="E50" s="6">
        <f t="shared" si="28"/>
        <v>-8.3866483006019513E-3</v>
      </c>
      <c r="F50" s="25">
        <f t="shared" si="28"/>
        <v>-8.3866483006019496E-3</v>
      </c>
      <c r="G50" s="6">
        <f t="shared" si="28"/>
        <v>-8.3866483006019444E-3</v>
      </c>
      <c r="H50" s="6">
        <f t="shared" si="28"/>
        <v>-8.3866483006019444E-3</v>
      </c>
      <c r="I50" s="6">
        <f t="shared" si="28"/>
        <v>-8.3866483006019479E-3</v>
      </c>
    </row>
    <row r="51" spans="2:42" x14ac:dyDescent="0.25">
      <c r="B51" s="1" t="s">
        <v>49</v>
      </c>
      <c r="C51" s="6">
        <f>C64</f>
        <v>3.6841398501313107E-2</v>
      </c>
      <c r="D51" s="6">
        <f t="shared" ref="D51:I51" si="29">D64</f>
        <v>3.6841398501313134E-2</v>
      </c>
      <c r="E51" s="6">
        <f t="shared" si="29"/>
        <v>3.6841398501313113E-2</v>
      </c>
      <c r="F51" s="25">
        <f t="shared" si="29"/>
        <v>3.6841398501313113E-2</v>
      </c>
      <c r="G51" s="6">
        <f t="shared" si="29"/>
        <v>3.6841398501313107E-2</v>
      </c>
      <c r="H51" s="6">
        <f t="shared" si="29"/>
        <v>3.6841398501313127E-2</v>
      </c>
      <c r="I51" s="6">
        <f t="shared" si="29"/>
        <v>3.6841398501313113E-2</v>
      </c>
      <c r="V51" t="s">
        <v>94</v>
      </c>
      <c r="W51" t="s">
        <v>95</v>
      </c>
      <c r="X51" t="s">
        <v>96</v>
      </c>
      <c r="Y51" t="s">
        <v>121</v>
      </c>
      <c r="Z51" t="s">
        <v>97</v>
      </c>
      <c r="AA51" t="s">
        <v>102</v>
      </c>
      <c r="AC51" s="30" t="s">
        <v>104</v>
      </c>
      <c r="AD51" s="30" t="s">
        <v>115</v>
      </c>
      <c r="AE51" s="30" t="s">
        <v>116</v>
      </c>
      <c r="AF51" t="s">
        <v>106</v>
      </c>
      <c r="AG51" t="s">
        <v>107</v>
      </c>
      <c r="AH51" t="s">
        <v>108</v>
      </c>
      <c r="AI51" t="s">
        <v>109</v>
      </c>
      <c r="AJ51" t="s">
        <v>110</v>
      </c>
      <c r="AK51" t="s">
        <v>111</v>
      </c>
      <c r="AL51" t="s">
        <v>112</v>
      </c>
      <c r="AM51" t="s">
        <v>113</v>
      </c>
      <c r="AN51" t="s">
        <v>114</v>
      </c>
    </row>
    <row r="52" spans="2:42" x14ac:dyDescent="0.25">
      <c r="F52" s="14"/>
      <c r="V52">
        <v>12</v>
      </c>
      <c r="W52" t="s">
        <v>92</v>
      </c>
      <c r="X52">
        <v>180</v>
      </c>
      <c r="Y52">
        <f>(X52+273.15)/1000</f>
        <v>0.45315</v>
      </c>
      <c r="Z52" t="s">
        <v>98</v>
      </c>
      <c r="AA52">
        <v>0.69</v>
      </c>
      <c r="AB52" t="s">
        <v>98</v>
      </c>
      <c r="AC52" s="31">
        <f>AA52/($AA$52+$AA$53+$AA$55)</f>
        <v>0.70408163265306123</v>
      </c>
      <c r="AD52" s="31">
        <f>1.008*2</f>
        <v>2.016</v>
      </c>
      <c r="AE52" s="31" t="s">
        <v>117</v>
      </c>
      <c r="AF52">
        <v>33.066178000000001</v>
      </c>
      <c r="AG52">
        <v>-11.363417</v>
      </c>
      <c r="AH52">
        <v>11.432816000000001</v>
      </c>
      <c r="AI52">
        <v>-2.7728739999999998</v>
      </c>
      <c r="AJ52">
        <v>-0.158558</v>
      </c>
      <c r="AK52">
        <v>-9.9807970000000008</v>
      </c>
      <c r="AL52">
        <v>172.70797400000001</v>
      </c>
      <c r="AM52">
        <v>0</v>
      </c>
      <c r="AN52">
        <f>AF52*Y52+AG52*Y52^2/2+AH52*Y52^3/3+AI52*Y52^4/4-AJ52/Y52+AK52-AM52</f>
        <v>4.511718405528562</v>
      </c>
    </row>
    <row r="53" spans="2:42" x14ac:dyDescent="0.25">
      <c r="B53" s="1" t="s">
        <v>50</v>
      </c>
      <c r="C53" s="10">
        <v>8.3866483006019496E-3</v>
      </c>
      <c r="D53" s="10">
        <v>8.3866483006019479E-3</v>
      </c>
      <c r="E53" s="10">
        <v>8.3866483006019513E-3</v>
      </c>
      <c r="F53" s="26">
        <v>8.3866483006019496E-3</v>
      </c>
      <c r="G53" s="10">
        <v>8.3866483006019444E-3</v>
      </c>
      <c r="H53" s="10">
        <v>8.3866483006019444E-3</v>
      </c>
      <c r="I53" s="10">
        <v>8.3866483006019479E-3</v>
      </c>
      <c r="X53">
        <v>180</v>
      </c>
      <c r="Y53">
        <f t="shared" ref="Y53:Y55" si="30">(X53+273.15)/1000</f>
        <v>0.45315</v>
      </c>
      <c r="Z53" t="s">
        <v>99</v>
      </c>
      <c r="AA53">
        <v>0.25</v>
      </c>
      <c r="AB53" t="s">
        <v>99</v>
      </c>
      <c r="AC53" s="31">
        <f>AA53/($AA$52+$AA$53+$AA$55)</f>
        <v>0.25510204081632654</v>
      </c>
      <c r="AD53" s="31">
        <f>14.007*2</f>
        <v>28.013999999999999</v>
      </c>
      <c r="AE53" s="31" t="s">
        <v>118</v>
      </c>
      <c r="AF53">
        <v>28.986409999999999</v>
      </c>
      <c r="AG53">
        <v>1.8539779999999999</v>
      </c>
      <c r="AH53">
        <v>-9.6474589999999996</v>
      </c>
      <c r="AI53">
        <v>16.635370000000002</v>
      </c>
      <c r="AJ53">
        <v>1.17E-4</v>
      </c>
      <c r="AK53">
        <v>-8.6719139999999992</v>
      </c>
      <c r="AL53">
        <v>226.41679999999999</v>
      </c>
      <c r="AM53">
        <v>0</v>
      </c>
      <c r="AN53">
        <f t="shared" ref="AN53:AN54" si="31">AF53*Y53+AG53*Y53^2/2+AH53*Y53^3/3+AI53*Y53^4/4-AJ53/Y53+AK53-AM53</f>
        <v>4.5294973525244249</v>
      </c>
    </row>
    <row r="54" spans="2:42" x14ac:dyDescent="0.25">
      <c r="B54" s="1" t="s">
        <v>51</v>
      </c>
      <c r="C54" s="10">
        <v>2.4883322642874501E-4</v>
      </c>
      <c r="D54" s="10">
        <v>1.6175823936008505E-4</v>
      </c>
      <c r="E54" s="10">
        <v>1.056476388388188E-4</v>
      </c>
      <c r="F54" s="26">
        <v>7.9046612014605649E-5</v>
      </c>
      <c r="G54" s="10">
        <v>6.9490303686135281E-5</v>
      </c>
      <c r="H54" s="10">
        <v>4.6190733316219329E-5</v>
      </c>
      <c r="I54" s="10">
        <v>3.5820276542448249E-5</v>
      </c>
      <c r="X54">
        <v>180</v>
      </c>
      <c r="Y54">
        <f t="shared" si="30"/>
        <v>0.45315</v>
      </c>
      <c r="Z54" t="s">
        <v>100</v>
      </c>
      <c r="AA54">
        <v>0.01</v>
      </c>
      <c r="AB54" t="s">
        <v>101</v>
      </c>
      <c r="AC54" s="31">
        <f>AA55/($AA$52+$AA$53+$AA$55)</f>
        <v>4.0816326530612249E-2</v>
      </c>
      <c r="AD54" s="31">
        <f>(AD52*3+AD53)/2</f>
        <v>17.030999999999999</v>
      </c>
      <c r="AE54" s="31" t="s">
        <v>120</v>
      </c>
      <c r="AF54">
        <v>19.995629999999998</v>
      </c>
      <c r="AG54">
        <v>49.771189999999997</v>
      </c>
      <c r="AH54">
        <v>-15.37599</v>
      </c>
      <c r="AI54">
        <v>1.921168</v>
      </c>
      <c r="AJ54">
        <v>0.18917400000000001</v>
      </c>
      <c r="AK54">
        <v>-53.306669999999997</v>
      </c>
      <c r="AL54">
        <v>203.85910000000001</v>
      </c>
      <c r="AM54">
        <v>-45.898060000000001</v>
      </c>
      <c r="AN54">
        <f t="shared" si="31"/>
        <v>5.8884056740829394</v>
      </c>
      <c r="AO54" t="s">
        <v>123</v>
      </c>
    </row>
    <row r="55" spans="2:42" x14ac:dyDescent="0.25">
      <c r="F55" s="14"/>
      <c r="X55">
        <v>180</v>
      </c>
      <c r="Y55">
        <f t="shared" si="30"/>
        <v>0.45315</v>
      </c>
      <c r="Z55" t="s">
        <v>101</v>
      </c>
      <c r="AA55">
        <v>0.04</v>
      </c>
      <c r="AB55" t="s">
        <v>103</v>
      </c>
      <c r="AC55" s="31">
        <f>SUM(AC52:AC54)</f>
        <v>1</v>
      </c>
      <c r="AD55">
        <f>SUMPRODUCT(AD52:AD54,AC52:AC54)</f>
        <v>9.2609999999999992</v>
      </c>
      <c r="AE55" s="31"/>
      <c r="AM55" t="s">
        <v>122</v>
      </c>
      <c r="AN55">
        <f>SUMPRODUCT(AN52:AN54,AC52:AC54)</f>
        <v>4.5724451682746245</v>
      </c>
      <c r="AO55">
        <f>AN55/AD55</f>
        <v>0.49373125669740037</v>
      </c>
    </row>
    <row r="56" spans="2:42" x14ac:dyDescent="0.25">
      <c r="B56" s="1" t="s">
        <v>52</v>
      </c>
      <c r="C56" s="10">
        <v>2.2223075072442863E-2</v>
      </c>
      <c r="D56" s="10">
        <v>1.4450602537923197E-2</v>
      </c>
      <c r="E56" s="10">
        <v>9.442067755103636E-3</v>
      </c>
      <c r="F56" s="26">
        <v>7.0676114693026667E-3</v>
      </c>
      <c r="G56" s="10">
        <v>6.2145979172493135E-3</v>
      </c>
      <c r="H56" s="10">
        <v>4.1348356702163797E-3</v>
      </c>
      <c r="I56" s="10">
        <v>3.2091497395253807E-3</v>
      </c>
      <c r="Z56" t="s">
        <v>103</v>
      </c>
      <c r="AA56">
        <f>SUM(AA52:AA55)</f>
        <v>0.99</v>
      </c>
    </row>
    <row r="57" spans="2:42" x14ac:dyDescent="0.25">
      <c r="B57" s="1" t="s">
        <v>53</v>
      </c>
      <c r="C57" s="10">
        <v>3.121155434567046E-3</v>
      </c>
      <c r="D57" s="10">
        <v>2.0295380588411737E-3</v>
      </c>
      <c r="E57" s="10">
        <v>1.3261063552782437E-3</v>
      </c>
      <c r="F57" s="26">
        <v>9.9262203250063421E-4</v>
      </c>
      <c r="G57" s="10">
        <v>8.7281917555703749E-4</v>
      </c>
      <c r="H57" s="10">
        <v>5.8072362987877458E-4</v>
      </c>
      <c r="I57" s="10">
        <v>4.507141841175462E-4</v>
      </c>
      <c r="V57">
        <v>13</v>
      </c>
      <c r="W57" t="s">
        <v>93</v>
      </c>
      <c r="X57">
        <v>482.4</v>
      </c>
      <c r="Y57">
        <f>(X57+273.15)/1000</f>
        <v>0.75554999999999994</v>
      </c>
      <c r="Z57" t="s">
        <v>98</v>
      </c>
      <c r="AA57">
        <v>0.53</v>
      </c>
      <c r="AB57" t="s">
        <v>98</v>
      </c>
      <c r="AC57" s="31">
        <f>AA57/($AA$57+$AA$58+$AA$60)</f>
        <v>0.54081632653061229</v>
      </c>
      <c r="AD57" s="31">
        <f>1.008*2</f>
        <v>2.016</v>
      </c>
      <c r="AE57" s="31" t="s">
        <v>117</v>
      </c>
      <c r="AF57">
        <v>33.066178000000001</v>
      </c>
      <c r="AG57">
        <v>-11.363417</v>
      </c>
      <c r="AH57">
        <v>11.432816000000001</v>
      </c>
      <c r="AI57">
        <v>-2.7728739999999998</v>
      </c>
      <c r="AJ57">
        <v>-0.158558</v>
      </c>
      <c r="AK57">
        <v>-9.9807970000000008</v>
      </c>
      <c r="AL57">
        <v>172.70797400000001</v>
      </c>
      <c r="AM57">
        <v>0</v>
      </c>
      <c r="AN57">
        <f>AF57*Y57+AG57*Y57^2/2+AH57*Y57^3/3+AI57*Y57^4/4-AJ57/Y57+AK57-AM57</f>
        <v>13.386568072909659</v>
      </c>
    </row>
    <row r="58" spans="2:42" x14ac:dyDescent="0.25">
      <c r="B58" s="1" t="s">
        <v>54</v>
      </c>
      <c r="C58" s="10">
        <v>1.6016566506653774E-2</v>
      </c>
      <c r="D58" s="10">
        <v>1.4731439923565093E-2</v>
      </c>
      <c r="E58" s="10">
        <v>1.4156221298322644E-2</v>
      </c>
      <c r="F58" s="26">
        <v>1.3956715717251688E-2</v>
      </c>
      <c r="G58" s="10">
        <v>1.3897088663016668E-2</v>
      </c>
      <c r="H58" s="10">
        <v>1.3779764127523545E-2</v>
      </c>
      <c r="I58" s="10">
        <v>1.3741156893259786E-2</v>
      </c>
      <c r="X58">
        <v>482.4</v>
      </c>
      <c r="Y58">
        <f t="shared" ref="Y58:Y60" si="32">(X58+273.15)/1000</f>
        <v>0.75554999999999994</v>
      </c>
      <c r="Z58" t="s">
        <v>99</v>
      </c>
      <c r="AA58">
        <v>0.2</v>
      </c>
      <c r="AB58" t="s">
        <v>99</v>
      </c>
      <c r="AC58" s="31">
        <f>AA58/($AA$57+$AA$58+$AA$60)</f>
        <v>0.20408163265306123</v>
      </c>
      <c r="AD58" s="31">
        <f>14.007*2</f>
        <v>28.013999999999999</v>
      </c>
      <c r="AE58" s="31" t="s">
        <v>119</v>
      </c>
      <c r="AF58">
        <v>19.50583</v>
      </c>
      <c r="AG58">
        <v>19.887049999999999</v>
      </c>
      <c r="AH58">
        <v>-8.598535</v>
      </c>
      <c r="AI58">
        <v>1.3697839999999999</v>
      </c>
      <c r="AJ58">
        <v>0.52760099999999999</v>
      </c>
      <c r="AK58">
        <v>-4.9352020000000003</v>
      </c>
      <c r="AL58">
        <v>212.39</v>
      </c>
      <c r="AM58">
        <v>0</v>
      </c>
      <c r="AN58">
        <f t="shared" ref="AN58:AN59" si="33">AF58*Y58+AG58*Y58^2/2+AH58*Y58^3/3+AI58*Y58^4/4-AJ58/Y58+AK58-AM58</f>
        <v>13.655829607830775</v>
      </c>
    </row>
    <row r="59" spans="2:42" x14ac:dyDescent="0.25">
      <c r="B59" s="1" t="s">
        <v>55</v>
      </c>
      <c r="C59" s="10">
        <v>1.994203416389167E-3</v>
      </c>
      <c r="D59" s="10">
        <v>1.285052746168372E-3</v>
      </c>
      <c r="E59" s="10">
        <v>8.2808029856098336E-4</v>
      </c>
      <c r="F59" s="26">
        <v>6.1143787763156697E-4</v>
      </c>
      <c r="G59" s="10">
        <v>5.336099883132755E-4</v>
      </c>
      <c r="H59" s="10">
        <v>3.4385508280115738E-4</v>
      </c>
      <c r="I59" s="10">
        <v>2.5939665657346656E-4</v>
      </c>
      <c r="X59">
        <v>482.4</v>
      </c>
      <c r="Y59">
        <f t="shared" si="32"/>
        <v>0.75554999999999994</v>
      </c>
      <c r="Z59" t="s">
        <v>100</v>
      </c>
      <c r="AA59">
        <v>0.01</v>
      </c>
      <c r="AB59" t="s">
        <v>101</v>
      </c>
      <c r="AC59" s="31">
        <f>AA60/($AA$57+$AA$58+$AA$60)</f>
        <v>0.25510204081632654</v>
      </c>
      <c r="AD59" s="31">
        <f>(AD57*3+AD58)/2</f>
        <v>17.030999999999999</v>
      </c>
      <c r="AE59" s="31" t="s">
        <v>120</v>
      </c>
      <c r="AF59">
        <v>19.995629999999998</v>
      </c>
      <c r="AG59">
        <v>49.771189999999997</v>
      </c>
      <c r="AH59">
        <v>-15.37599</v>
      </c>
      <c r="AI59">
        <v>1.921168</v>
      </c>
      <c r="AJ59">
        <v>0.18917400000000001</v>
      </c>
      <c r="AK59">
        <v>-53.306669999999997</v>
      </c>
      <c r="AL59">
        <v>203.85910000000001</v>
      </c>
      <c r="AM59">
        <v>-45.898060000000001</v>
      </c>
      <c r="AN59">
        <f t="shared" si="33"/>
        <v>19.600704556597467</v>
      </c>
      <c r="AO59" t="s">
        <v>123</v>
      </c>
    </row>
    <row r="60" spans="2:42" x14ac:dyDescent="0.25">
      <c r="B60" s="1" t="s">
        <v>44</v>
      </c>
      <c r="C60" s="10">
        <v>2.4096328091716845E-4</v>
      </c>
      <c r="D60" s="10">
        <v>1.5668689357422802E-4</v>
      </c>
      <c r="E60" s="10">
        <v>1.0237969396653245E-4</v>
      </c>
      <c r="F60" s="26">
        <v>7.6633627089834374E-5</v>
      </c>
      <c r="G60" s="10">
        <v>6.7384459569158327E-5</v>
      </c>
      <c r="H60" s="10">
        <v>4.4833739970764326E-5</v>
      </c>
      <c r="I60" s="10">
        <v>3.4796590825965697E-5</v>
      </c>
      <c r="X60">
        <v>482.4</v>
      </c>
      <c r="Y60">
        <f t="shared" si="32"/>
        <v>0.75554999999999994</v>
      </c>
      <c r="Z60" t="s">
        <v>101</v>
      </c>
      <c r="AA60">
        <v>0.25</v>
      </c>
      <c r="AB60" t="s">
        <v>103</v>
      </c>
      <c r="AC60" s="31">
        <f>SUM(AC57:AC59)</f>
        <v>1</v>
      </c>
      <c r="AD60">
        <f>SUMPRODUCT(AD57:AD59,AC57:AC59)</f>
        <v>11.152071428571428</v>
      </c>
      <c r="AE60" s="31"/>
      <c r="AM60" t="s">
        <v>122</v>
      </c>
      <c r="AN60">
        <f>SUMPRODUCT(AN57:AN59,AC57:AC59)</f>
        <v>15.026758305466982</v>
      </c>
      <c r="AO60">
        <f>AN60/AD60</f>
        <v>1.3474410024821639</v>
      </c>
    </row>
    <row r="61" spans="2:42" x14ac:dyDescent="0.25">
      <c r="B61" s="1" t="s">
        <v>56</v>
      </c>
      <c r="C61" s="10">
        <v>0.17304703294636434</v>
      </c>
      <c r="D61" s="10">
        <v>7.8876914653494459E-2</v>
      </c>
      <c r="E61" s="10">
        <v>3.6726665256928241E-2</v>
      </c>
      <c r="F61" s="26">
        <v>2.2107510679652685E-2</v>
      </c>
      <c r="G61" s="10">
        <v>1.7738223774644474E-2</v>
      </c>
      <c r="H61" s="10">
        <v>9.1410431300033724E-3</v>
      </c>
      <c r="I61" s="10">
        <v>6.3120238991970206E-3</v>
      </c>
      <c r="Z61" t="s">
        <v>103</v>
      </c>
      <c r="AA61">
        <f>SUM(AA57:AA60)</f>
        <v>0.99</v>
      </c>
    </row>
    <row r="62" spans="2:42" x14ac:dyDescent="0.25">
      <c r="B62" s="1" t="s">
        <v>57</v>
      </c>
      <c r="C62" s="10">
        <v>0.97212827050975703</v>
      </c>
      <c r="D62" s="10">
        <v>0.97212827050975703</v>
      </c>
      <c r="E62" s="10">
        <v>0.97212827050975659</v>
      </c>
      <c r="F62" s="26">
        <v>0.97212827050975703</v>
      </c>
      <c r="G62" s="10">
        <v>0.97212827050975659</v>
      </c>
      <c r="H62" s="10">
        <v>0.9721282705097567</v>
      </c>
      <c r="I62" s="10">
        <v>0.9721282705097567</v>
      </c>
      <c r="AN62" t="s">
        <v>124</v>
      </c>
      <c r="AO62">
        <f>AO60-AO55</f>
        <v>0.85370974578476355</v>
      </c>
      <c r="AP62" t="s">
        <v>125</v>
      </c>
    </row>
    <row r="63" spans="2:42" x14ac:dyDescent="0.25">
      <c r="B63" s="1" t="s">
        <v>47</v>
      </c>
      <c r="C63" s="1">
        <v>0</v>
      </c>
      <c r="D63" s="1">
        <v>0</v>
      </c>
      <c r="E63" s="1">
        <v>0</v>
      </c>
      <c r="F63" s="19">
        <v>0</v>
      </c>
      <c r="G63" s="1">
        <v>0</v>
      </c>
      <c r="H63" s="1">
        <v>0</v>
      </c>
      <c r="I63" s="1">
        <v>0</v>
      </c>
      <c r="W63" t="s">
        <v>145</v>
      </c>
      <c r="AC63" t="s">
        <v>146</v>
      </c>
      <c r="AN63" t="s">
        <v>126</v>
      </c>
      <c r="AO63">
        <v>3.5</v>
      </c>
      <c r="AP63" t="s">
        <v>127</v>
      </c>
    </row>
    <row r="64" spans="2:42" ht="17.25" x14ac:dyDescent="0.3">
      <c r="B64" s="1" t="s">
        <v>58</v>
      </c>
      <c r="C64" s="10">
        <v>3.6841398501313107E-2</v>
      </c>
      <c r="D64" s="10">
        <v>3.6841398501313134E-2</v>
      </c>
      <c r="E64" s="10">
        <v>3.6841398501313113E-2</v>
      </c>
      <c r="F64" s="26">
        <v>3.6841398501313113E-2</v>
      </c>
      <c r="G64" s="10">
        <v>3.6841398501313107E-2</v>
      </c>
      <c r="H64" s="10">
        <v>3.6841398501313127E-2</v>
      </c>
      <c r="I64" s="10">
        <v>3.6841398501313113E-2</v>
      </c>
      <c r="W64" s="32" t="s">
        <v>105</v>
      </c>
      <c r="AN64" t="s">
        <v>124</v>
      </c>
      <c r="AO64">
        <f>AO63*AO62</f>
        <v>2.9879841102466722</v>
      </c>
      <c r="AP64" t="s">
        <v>128</v>
      </c>
    </row>
    <row r="65" spans="2:42" x14ac:dyDescent="0.25">
      <c r="B65" s="1" t="s">
        <v>59</v>
      </c>
      <c r="C65" s="10">
        <v>1.4599049617638906E-2</v>
      </c>
      <c r="D65" s="10">
        <v>9.4930635282567608E-3</v>
      </c>
      <c r="E65" s="10">
        <v>6.202796651701801E-3</v>
      </c>
      <c r="F65" s="26">
        <v>4.6429402853653485E-3</v>
      </c>
      <c r="G65" s="10">
        <v>4.082568368771881E-3</v>
      </c>
      <c r="H65" s="10">
        <v>2.7163059528663397E-3</v>
      </c>
      <c r="I65" s="10">
        <v>2.1081932237118598E-3</v>
      </c>
      <c r="AN65" s="4" t="s">
        <v>124</v>
      </c>
      <c r="AO65" s="37">
        <f>AO64/3600*1000</f>
        <v>0.8299955861796311</v>
      </c>
      <c r="AP65" s="4" t="s">
        <v>131</v>
      </c>
    </row>
    <row r="66" spans="2:42" x14ac:dyDescent="0.25">
      <c r="B66" s="1" t="s">
        <v>60</v>
      </c>
      <c r="C66" s="10">
        <v>6.936345043886359E-3</v>
      </c>
      <c r="D66" s="10">
        <v>6.0025552620928254E-3</v>
      </c>
      <c r="E66" s="10">
        <v>5.488490116780478E-3</v>
      </c>
      <c r="F66" s="26">
        <v>5.270152002664466E-3</v>
      </c>
      <c r="G66" s="10">
        <v>5.1958898058290376E-3</v>
      </c>
      <c r="H66" s="10">
        <v>5.0245527128278998E-3</v>
      </c>
      <c r="I66" s="10">
        <v>4.9530104489364513E-3</v>
      </c>
    </row>
    <row r="67" spans="2:42" x14ac:dyDescent="0.25">
      <c r="B67" s="1" t="s">
        <v>61</v>
      </c>
      <c r="C67" s="10">
        <v>6.5582261713232639E-4</v>
      </c>
      <c r="D67" s="10">
        <v>4.2645007248846362E-4</v>
      </c>
      <c r="E67" s="10">
        <v>2.7864377751985565E-4</v>
      </c>
      <c r="F67" s="26">
        <v>2.0857147067014837E-4</v>
      </c>
      <c r="G67" s="10">
        <v>1.833982856661219E-4</v>
      </c>
      <c r="H67" s="10">
        <v>1.2202266076201119E-4</v>
      </c>
      <c r="I67" s="10">
        <v>9.4704849535195656E-5</v>
      </c>
    </row>
    <row r="69" spans="2:42" x14ac:dyDescent="0.25">
      <c r="E69" s="30" t="s">
        <v>133</v>
      </c>
      <c r="F69" s="35">
        <f>F7</f>
        <v>52776.6</v>
      </c>
      <c r="G69" t="s">
        <v>130</v>
      </c>
    </row>
    <row r="70" spans="2:42" x14ac:dyDescent="0.25">
      <c r="E70" s="30" t="s">
        <v>135</v>
      </c>
      <c r="F70" s="39">
        <f>F19</f>
        <v>9.1295354067341011E-5</v>
      </c>
      <c r="G70" t="s">
        <v>134</v>
      </c>
    </row>
    <row r="71" spans="2:42" x14ac:dyDescent="0.25">
      <c r="E71" s="30" t="s">
        <v>136</v>
      </c>
      <c r="F71">
        <v>3</v>
      </c>
      <c r="G71" t="s">
        <v>137</v>
      </c>
    </row>
    <row r="72" spans="2:42" x14ac:dyDescent="0.25">
      <c r="E72" s="30" t="s">
        <v>138</v>
      </c>
      <c r="F72" s="7">
        <f>F2</f>
        <v>0.9</v>
      </c>
    </row>
    <row r="74" spans="2:42" x14ac:dyDescent="0.25">
      <c r="E74" s="30" t="s">
        <v>139</v>
      </c>
      <c r="F74" s="38">
        <f>F14</f>
        <v>0.53064524300000004</v>
      </c>
      <c r="G74" t="s">
        <v>140</v>
      </c>
    </row>
    <row r="75" spans="2:42" x14ac:dyDescent="0.25">
      <c r="E75" s="30" t="s">
        <v>141</v>
      </c>
      <c r="F75" s="36">
        <f>AO65</f>
        <v>0.8299955861796311</v>
      </c>
    </row>
    <row r="76" spans="2:42" x14ac:dyDescent="0.25">
      <c r="E76" s="30" t="s">
        <v>147</v>
      </c>
      <c r="F76">
        <v>25.8</v>
      </c>
    </row>
    <row r="77" spans="2:42" x14ac:dyDescent="0.25">
      <c r="E77" s="30" t="s">
        <v>148</v>
      </c>
      <c r="F77">
        <v>20</v>
      </c>
    </row>
    <row r="78" spans="2:42" x14ac:dyDescent="0.25">
      <c r="E78" s="30" t="s">
        <v>149</v>
      </c>
      <c r="F78">
        <v>0.25</v>
      </c>
    </row>
    <row r="79" spans="2:42" x14ac:dyDescent="0.25">
      <c r="E79" s="30" t="s">
        <v>150</v>
      </c>
      <c r="F79">
        <v>0.75</v>
      </c>
    </row>
    <row r="80" spans="2:42" x14ac:dyDescent="0.25">
      <c r="E80" s="30" t="s">
        <v>142</v>
      </c>
      <c r="F80">
        <v>1.1299999999999999</v>
      </c>
    </row>
    <row r="81" spans="3:6" x14ac:dyDescent="0.25">
      <c r="E81" s="30" t="s">
        <v>151</v>
      </c>
      <c r="F81">
        <v>7.5</v>
      </c>
    </row>
    <row r="82" spans="3:6" x14ac:dyDescent="0.25">
      <c r="E82" s="30" t="s">
        <v>152</v>
      </c>
      <c r="F82">
        <v>275</v>
      </c>
    </row>
    <row r="83" spans="3:6" x14ac:dyDescent="0.25">
      <c r="E83" s="30" t="s">
        <v>153</v>
      </c>
      <c r="F83">
        <v>0.26</v>
      </c>
    </row>
    <row r="84" spans="3:6" x14ac:dyDescent="0.25">
      <c r="C84" s="5"/>
      <c r="E84" s="30" t="s">
        <v>154</v>
      </c>
      <c r="F84">
        <v>0.68</v>
      </c>
    </row>
    <row r="85" spans="3:6" x14ac:dyDescent="0.25">
      <c r="C85" s="28"/>
      <c r="E85" s="30" t="s">
        <v>155</v>
      </c>
      <c r="F85">
        <v>0.02</v>
      </c>
    </row>
    <row r="86" spans="3:6" x14ac:dyDescent="0.25">
      <c r="E86" s="30" t="s">
        <v>156</v>
      </c>
      <c r="F86">
        <v>0.04</v>
      </c>
    </row>
    <row r="87" spans="3:6" x14ac:dyDescent="0.25">
      <c r="E87" s="30" t="s">
        <v>143</v>
      </c>
      <c r="F87">
        <v>7.0000000000000007E-2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6B571-BCBA-4204-8ED4-5E89D0A9A08E}">
  <dimension ref="B1:C30"/>
  <sheetViews>
    <sheetView workbookViewId="0">
      <selection activeCell="B4" sqref="B4:C6"/>
    </sheetView>
  </sheetViews>
  <sheetFormatPr defaultRowHeight="15" x14ac:dyDescent="0.25"/>
  <cols>
    <col min="2" max="2" width="56.7109375" bestFit="1" customWidth="1"/>
    <col min="3" max="3" width="7.28515625" bestFit="1" customWidth="1"/>
  </cols>
  <sheetData>
    <row r="1" spans="2:3" x14ac:dyDescent="0.25">
      <c r="B1" s="4" t="s">
        <v>62</v>
      </c>
    </row>
    <row r="2" spans="2:3" x14ac:dyDescent="0.25">
      <c r="B2" t="s">
        <v>63</v>
      </c>
    </row>
    <row r="4" spans="2:3" x14ac:dyDescent="0.25">
      <c r="B4" s="1" t="s">
        <v>64</v>
      </c>
      <c r="C4" s="1">
        <v>2016</v>
      </c>
    </row>
    <row r="5" spans="2:3" x14ac:dyDescent="0.25">
      <c r="B5" s="1" t="s">
        <v>65</v>
      </c>
      <c r="C5" s="1">
        <v>2015</v>
      </c>
    </row>
    <row r="6" spans="2:3" x14ac:dyDescent="0.25">
      <c r="B6" s="1" t="s">
        <v>66</v>
      </c>
      <c r="C6" s="1">
        <v>2016</v>
      </c>
    </row>
    <row r="7" spans="2:3" x14ac:dyDescent="0.25">
      <c r="B7" s="1" t="s">
        <v>67</v>
      </c>
      <c r="C7" s="1">
        <v>3</v>
      </c>
    </row>
    <row r="8" spans="2:3" x14ac:dyDescent="0.25">
      <c r="B8" s="1" t="s">
        <v>68</v>
      </c>
      <c r="C8" s="1">
        <v>0.08</v>
      </c>
    </row>
    <row r="9" spans="2:3" x14ac:dyDescent="0.25">
      <c r="B9" s="1" t="s">
        <v>69</v>
      </c>
      <c r="C9" s="1">
        <v>0.6</v>
      </c>
    </row>
    <row r="10" spans="2:3" x14ac:dyDescent="0.25">
      <c r="B10" s="1" t="s">
        <v>70</v>
      </c>
      <c r="C10" s="1">
        <v>0.32</v>
      </c>
    </row>
    <row r="11" spans="2:3" x14ac:dyDescent="0.25">
      <c r="B11" s="1" t="s">
        <v>71</v>
      </c>
      <c r="C11" s="1"/>
    </row>
    <row r="12" spans="2:3" x14ac:dyDescent="0.25">
      <c r="B12" s="1" t="s">
        <v>72</v>
      </c>
      <c r="C12" s="1">
        <v>1</v>
      </c>
    </row>
    <row r="13" spans="2:3" x14ac:dyDescent="0.25">
      <c r="B13" s="1" t="s">
        <v>73</v>
      </c>
      <c r="C13" s="1">
        <v>40</v>
      </c>
    </row>
    <row r="14" spans="2:3" x14ac:dyDescent="0.25">
      <c r="B14" s="1" t="s">
        <v>74</v>
      </c>
      <c r="C14" s="1">
        <v>40</v>
      </c>
    </row>
    <row r="15" spans="2:3" x14ac:dyDescent="0.25">
      <c r="B15" s="1" t="s">
        <v>75</v>
      </c>
      <c r="C15" s="1">
        <v>20</v>
      </c>
    </row>
    <row r="16" spans="2:3" x14ac:dyDescent="0.25">
      <c r="B16" s="1" t="s">
        <v>76</v>
      </c>
      <c r="C16" s="1" t="s">
        <v>77</v>
      </c>
    </row>
    <row r="17" spans="2:3" x14ac:dyDescent="0.25">
      <c r="B17" s="1" t="s">
        <v>78</v>
      </c>
      <c r="C17" s="1">
        <v>0.4</v>
      </c>
    </row>
    <row r="18" spans="2:3" x14ac:dyDescent="0.25">
      <c r="B18" s="1" t="s">
        <v>79</v>
      </c>
      <c r="C18" s="1">
        <v>3.6999999999999998E-2</v>
      </c>
    </row>
    <row r="19" spans="2:3" x14ac:dyDescent="0.25">
      <c r="B19" s="1" t="s">
        <v>80</v>
      </c>
      <c r="C19" s="1">
        <v>0</v>
      </c>
    </row>
    <row r="20" spans="2:3" x14ac:dyDescent="0.25">
      <c r="B20" s="1" t="s">
        <v>81</v>
      </c>
      <c r="C20" s="1">
        <v>0.75</v>
      </c>
    </row>
    <row r="21" spans="2:3" x14ac:dyDescent="0.25">
      <c r="B21" s="1" t="s">
        <v>82</v>
      </c>
      <c r="C21" s="1">
        <v>0.5</v>
      </c>
    </row>
    <row r="22" spans="2:3" x14ac:dyDescent="0.25">
      <c r="B22" s="1" t="s">
        <v>83</v>
      </c>
      <c r="C22" s="1">
        <v>0.75</v>
      </c>
    </row>
    <row r="23" spans="2:3" x14ac:dyDescent="0.25">
      <c r="B23" s="1" t="s">
        <v>84</v>
      </c>
      <c r="C23" s="1">
        <v>0.1</v>
      </c>
    </row>
    <row r="24" spans="2:3" x14ac:dyDescent="0.25">
      <c r="B24" s="1" t="s">
        <v>85</v>
      </c>
      <c r="C24" s="1">
        <v>0.1</v>
      </c>
    </row>
    <row r="25" spans="2:3" x14ac:dyDescent="0.25">
      <c r="B25" s="1" t="s">
        <v>86</v>
      </c>
      <c r="C25" s="1">
        <v>1.9E-2</v>
      </c>
    </row>
    <row r="26" spans="2:3" x14ac:dyDescent="0.25">
      <c r="B26" s="1" t="s">
        <v>87</v>
      </c>
      <c r="C26" s="1">
        <v>0.08</v>
      </c>
    </row>
    <row r="27" spans="2:3" x14ac:dyDescent="0.25">
      <c r="B27" s="1" t="s">
        <v>88</v>
      </c>
      <c r="C27" s="1">
        <v>0.06</v>
      </c>
    </row>
    <row r="28" spans="2:3" x14ac:dyDescent="0.25">
      <c r="B28" s="1" t="s">
        <v>89</v>
      </c>
      <c r="C28" s="1">
        <v>0.21</v>
      </c>
    </row>
    <row r="29" spans="2:3" x14ac:dyDescent="0.25">
      <c r="B29" s="1" t="s">
        <v>90</v>
      </c>
      <c r="C29" s="1">
        <v>0.25739999999999996</v>
      </c>
    </row>
    <row r="30" spans="2:3" x14ac:dyDescent="0.25">
      <c r="B30" s="1" t="s">
        <v>91</v>
      </c>
      <c r="C30" s="1">
        <v>0.15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460CF5A370D824381F1DF8272AA894D" ma:contentTypeVersion="3" ma:contentTypeDescription="Create a new document." ma:contentTypeScope="" ma:versionID="f1f8eafa6691a62ef0b2d4f01f9dfc89">
  <xsd:schema xmlns:xsd="http://www.w3.org/2001/XMLSchema" xmlns:xs="http://www.w3.org/2001/XMLSchema" xmlns:p="http://schemas.microsoft.com/office/2006/metadata/properties" xmlns:ns2="5c568c42-04c3-4624-b700-87bc64b8e7e5" targetNamespace="http://schemas.microsoft.com/office/2006/metadata/properties" ma:root="true" ma:fieldsID="1b2cfe064fff1e24a8e2ac692a0fa436" ns2:_="">
    <xsd:import namespace="5c568c42-04c3-4624-b700-87bc64b8e7e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568c42-04c3-4624-b700-87bc64b8e7e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36806C7-C026-4EC2-9A79-F4BDE3C8E19D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88C8CE1C-2682-4461-9400-83B1409FE3D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4A1221C-C52B-4599-9BDB-5DDB5E1F49C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c568c42-04c3-4624-b700-87bc64b8e7e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95965d95-ecc0-4720-b759-1f33c42ed7da}" enabled="1" method="Standard" siteId="{a0f29d7e-28cd-4f54-8442-7885aee7c08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Startup cost</vt:lpstr>
      <vt:lpstr>TEA assumptions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Kyuha Lee</dc:creator>
  <cp:keywords/>
  <dc:description/>
  <cp:lastModifiedBy>Martin, Jonathan</cp:lastModifiedBy>
  <cp:revision/>
  <dcterms:created xsi:type="dcterms:W3CDTF">2022-10-21T18:34:54Z</dcterms:created>
  <dcterms:modified xsi:type="dcterms:W3CDTF">2025-07-11T20:15:29Z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0x010100B460CF5A370D824381F1DF8272AA894D</vt:lpwstr>
  </property>
</Properties>
</file>