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artin4\Documents\Code\jmartin4nrel\H2Integrate\h2integrate\converters\ammonia\"/>
    </mc:Choice>
  </mc:AlternateContent>
  <xr:revisionPtr revIDLastSave="0" documentId="13_ncr:1_{47272C1F-05B6-4224-A4B1-254AF6EE5A1D}" xr6:coauthVersionLast="47" xr6:coauthVersionMax="47" xr10:uidLastSave="{00000000-0000-0000-0000-000000000000}"/>
  <bookViews>
    <workbookView xWindow="-108" yWindow="-108" windowWidth="23256" windowHeight="12456" xr2:uid="{E2C01D3A-6DAE-45C2-89C9-0ADC6AC6A4F1}"/>
  </bookViews>
  <sheets>
    <sheet name="NETL ASU and Synloop Capex" sheetId="6" r:id="rId1"/>
  </sheets>
  <externalReferences>
    <externalReference r:id="rId2"/>
  </externalReferences>
  <definedNames>
    <definedName name="anal_period">[1]Input_Sheet_Template!$C$40</definedName>
    <definedName name="construct">[1]Input_Sheet_Template!$C$33</definedName>
    <definedName name="startup_year">[1]Input_Sheet_Template!$C$31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6" l="1"/>
  <c r="D2" i="6"/>
  <c r="F2" i="6" s="1"/>
  <c r="H6" i="6" s="1"/>
  <c r="H5" i="6" l="1"/>
  <c r="H2" i="6"/>
</calcChain>
</file>

<file path=xl/sharedStrings.xml><?xml version="1.0" encoding="utf-8"?>
<sst xmlns="http://schemas.openxmlformats.org/spreadsheetml/2006/main" count="19" uniqueCount="14">
  <si>
    <t>Plant Design Capacity (kg NH3/hr)</t>
  </si>
  <si>
    <t>ANL</t>
  </si>
  <si>
    <t>NETL</t>
  </si>
  <si>
    <t>Cap Ratio</t>
  </si>
  <si>
    <t>Exponent</t>
  </si>
  <si>
    <t>Cost Year</t>
  </si>
  <si>
    <t>Scaling Ratio</t>
  </si>
  <si>
    <t>CEPCI</t>
  </si>
  <si>
    <t>ASU Total</t>
  </si>
  <si>
    <t>NETL Scaled</t>
  </si>
  <si>
    <t>CEPCI Ratio</t>
  </si>
  <si>
    <t>Synloop Total</t>
  </si>
  <si>
    <t>DOE/NETL- 2010/1402</t>
  </si>
  <si>
    <t>https://doi.org/10.2172/1515254·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</si>
</sst>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6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120512</xdr:rowOff>
    </xdr:from>
    <xdr:to>
      <xdr:col>31</xdr:col>
      <xdr:colOff>594360</xdr:colOff>
      <xdr:row>72</xdr:row>
      <xdr:rowOff>22486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4FFC79-F197-9AEB-E379-FEEF3C6F3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49512"/>
          <a:ext cx="21777960" cy="101889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76200</xdr:rowOff>
    </xdr:from>
    <xdr:to>
      <xdr:col>23</xdr:col>
      <xdr:colOff>481514</xdr:colOff>
      <xdr:row>17</xdr:row>
      <xdr:rowOff>64884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266518-D22C-9F51-5BF1-AC333014E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81200"/>
          <a:ext cx="16773074" cy="132218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%20Kyuha\01%20ANL\00%20Research\Green%20Ammonia\TEA-NH3\h2a-v3-2018.20201209-GreenNH3-forScaling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Description"/>
      <sheetName val="ProcessFlow"/>
      <sheetName val="Input_Sheet_Template"/>
      <sheetName val="Replacement Costs"/>
      <sheetName val="Capital Costs"/>
      <sheetName val="Plant Scaling"/>
      <sheetName val="Carbon Sequestration"/>
      <sheetName val="Results"/>
      <sheetName val="Tornado Charts &amp; Risk Analysis"/>
      <sheetName val="Cash Flow Analysis"/>
      <sheetName val="Energy Feed &amp; Utility Prices"/>
      <sheetName val="Non-Energy Material Prices"/>
      <sheetName val="AEO Data"/>
      <sheetName val="HyARC Physical Property Data"/>
      <sheetName val="Debt Financing Calculations"/>
      <sheetName val="Depreciation"/>
      <sheetName val="Constants and Conversions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i.org/10.2172/15152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9A58-18DE-490B-8065-E6227D0764B5}">
  <dimension ref="A1:I9"/>
  <sheetViews>
    <sheetView tabSelected="1" zoomScaleNormal="100" workbookViewId="0">
      <selection activeCell="D9" sqref="D9"/>
    </sheetView>
  </sheetViews>
  <sheetFormatPr defaultRowHeight="15" x14ac:dyDescent="0.25"/>
  <cols>
    <col min="1" max="1" width="28.5703125" bestFit="1" customWidth="1"/>
    <col min="2" max="2" width="11.85546875" bestFit="1" customWidth="1"/>
    <col min="3" max="3" width="12.85546875" bestFit="1" customWidth="1"/>
    <col min="6" max="6" width="11.28515625" bestFit="1" customWidth="1"/>
    <col min="7" max="7" width="11.28515625" customWidth="1"/>
    <col min="8" max="8" width="12.85546875" bestFit="1" customWidth="1"/>
  </cols>
  <sheetData>
    <row r="1" spans="1:9" x14ac:dyDescent="0.25"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10</v>
      </c>
      <c r="H1" t="s">
        <v>9</v>
      </c>
    </row>
    <row r="2" spans="1:9" x14ac:dyDescent="0.25">
      <c r="A2" t="s">
        <v>0</v>
      </c>
      <c r="B2">
        <v>52777.599999999999</v>
      </c>
      <c r="C2">
        <v>83324</v>
      </c>
      <c r="D2">
        <f>B2/C2</f>
        <v>0.63340214103979642</v>
      </c>
      <c r="E2">
        <v>0.6</v>
      </c>
      <c r="F2">
        <f>D2^E2</f>
        <v>0.76033978598723762</v>
      </c>
      <c r="G2">
        <f>$B$4/$C$4</f>
        <v>1.0323809523809524</v>
      </c>
      <c r="H2">
        <f>C2*D2</f>
        <v>52777.599999999999</v>
      </c>
      <c r="I2" t="s">
        <v>0</v>
      </c>
    </row>
    <row r="3" spans="1:9" x14ac:dyDescent="0.25">
      <c r="A3" t="s">
        <v>5</v>
      </c>
      <c r="B3">
        <v>2016</v>
      </c>
      <c r="C3">
        <v>2007</v>
      </c>
      <c r="I3" t="s">
        <v>5</v>
      </c>
    </row>
    <row r="4" spans="1:9" x14ac:dyDescent="0.25">
      <c r="A4" t="s">
        <v>7</v>
      </c>
      <c r="B4">
        <v>542</v>
      </c>
      <c r="C4">
        <v>525</v>
      </c>
      <c r="I4" t="s">
        <v>7</v>
      </c>
    </row>
    <row r="5" spans="1:9" x14ac:dyDescent="0.25">
      <c r="A5" t="s">
        <v>8</v>
      </c>
      <c r="B5" s="1">
        <v>22506100</v>
      </c>
      <c r="C5" s="1">
        <v>301825000</v>
      </c>
      <c r="H5" s="1">
        <f>C5*$F$2*$G$2</f>
        <v>236920646.28730306</v>
      </c>
      <c r="I5" t="s">
        <v>8</v>
      </c>
    </row>
    <row r="6" spans="1:9" x14ac:dyDescent="0.25">
      <c r="A6" t="s">
        <v>11</v>
      </c>
      <c r="B6" s="1">
        <v>18642800</v>
      </c>
      <c r="C6" s="1">
        <v>385320000</v>
      </c>
      <c r="H6" s="1">
        <f>C6*$F$2*$G$2</f>
        <v>302460907.57035905</v>
      </c>
      <c r="I6" t="s">
        <v>11</v>
      </c>
    </row>
    <row r="8" spans="1:9" x14ac:dyDescent="0.25">
      <c r="A8" t="s">
        <v>12</v>
      </c>
    </row>
    <row r="9" spans="1:9" x14ac:dyDescent="0.25">
      <c r="A9" s="2" t="s">
        <v>13</v>
      </c>
    </row>
  </sheetData>
  <hyperlinks>
    <hyperlink ref="A9" r:id="rId1" tooltip="Document DOI URL" display="https://doi.org/10.2172/1515254" xr:uid="{82C230A2-CF78-4364-83DE-C411F5B54278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60CF5A370D824381F1DF8272AA894D" ma:contentTypeVersion="3" ma:contentTypeDescription="Create a new document." ma:contentTypeScope="" ma:versionID="f1f8eafa6691a62ef0b2d4f01f9dfc89">
  <xsd:schema xmlns:xsd="http://www.w3.org/2001/XMLSchema" xmlns:xs="http://www.w3.org/2001/XMLSchema" xmlns:p="http://schemas.microsoft.com/office/2006/metadata/properties" xmlns:ns2="5c568c42-04c3-4624-b700-87bc64b8e7e5" targetNamespace="http://schemas.microsoft.com/office/2006/metadata/properties" ma:root="true" ma:fieldsID="1b2cfe064fff1e24a8e2ac692a0fa436" ns2:_="">
    <xsd:import namespace="5c568c42-04c3-4624-b700-87bc64b8e7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568c42-04c3-4624-b700-87bc64b8e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6806C7-C026-4EC2-9A79-F4BDE3C8E19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8C8CE1C-2682-4461-9400-83B1409FE3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A1221C-C52B-4599-9BDB-5DDB5E1F49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568c42-04c3-4624-b700-87bc64b8e7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NETL ASU and Synloop Capex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Kyuha Lee</dc:creator>
  <cp:keywords/>
  <dc:description/>
  <cp:lastModifiedBy>Martin, Jonathan</cp:lastModifiedBy>
  <cp:revision/>
  <dcterms:created xsi:type="dcterms:W3CDTF">2022-10-21T18:34:54Z</dcterms:created>
  <dcterms:modified xsi:type="dcterms:W3CDTF">2025-07-11T20:01:31Z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0x010100B460CF5A370D824381F1DF8272AA894D</vt:lpwstr>
  </property>
</Properties>
</file>